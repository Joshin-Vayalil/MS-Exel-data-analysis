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data analysis\"/>
    </mc:Choice>
  </mc:AlternateContent>
  <xr:revisionPtr revIDLastSave="0" documentId="13_ncr:1_{CC1CE08D-0B62-439C-8580-4356EEB60CE5}" xr6:coauthVersionLast="47" xr6:coauthVersionMax="47" xr10:uidLastSave="{00000000-0000-0000-0000-000000000000}"/>
  <bookViews>
    <workbookView xWindow="900" yWindow="240" windowWidth="10320" windowHeight="11736" firstSheet="9" activeTab="10" xr2:uid="{86B7AC2A-7574-471E-8403-42E6445797A3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</sheets>
  <definedNames>
    <definedName name="_xlchart.v1.0" hidden="1">Sheet4!$A$1</definedName>
    <definedName name="_xlchart.v1.1" hidden="1">Sheet4!$A$2:$A$51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0" i="11" l="1"/>
  <c r="F8" i="15"/>
  <c r="E8" i="15"/>
  <c r="F5" i="15"/>
  <c r="F4" i="15"/>
  <c r="E5" i="15"/>
  <c r="E4" i="15"/>
  <c r="B10" i="15"/>
  <c r="B9" i="15"/>
  <c r="D3" i="14"/>
  <c r="E3" i="13"/>
  <c r="C12" i="13"/>
  <c r="C3" i="13"/>
  <c r="C4" i="13"/>
  <c r="C5" i="13"/>
  <c r="C6" i="13"/>
  <c r="C7" i="13"/>
  <c r="C8" i="13"/>
  <c r="C9" i="13"/>
  <c r="C10" i="13"/>
  <c r="C11" i="13"/>
  <c r="C2" i="13"/>
  <c r="C4" i="12"/>
  <c r="C5" i="12"/>
  <c r="C6" i="12"/>
  <c r="C7" i="12"/>
  <c r="C8" i="12"/>
  <c r="C9" i="12"/>
  <c r="C10" i="12"/>
  <c r="C11" i="12"/>
  <c r="C12" i="12"/>
  <c r="C13" i="12"/>
  <c r="C14" i="12"/>
  <c r="C15" i="12"/>
  <c r="C3" i="12"/>
  <c r="B4" i="12"/>
  <c r="B5" i="12"/>
  <c r="B6" i="12"/>
  <c r="B7" i="12"/>
  <c r="B8" i="12"/>
  <c r="B9" i="12"/>
  <c r="B10" i="12"/>
  <c r="B11" i="12"/>
  <c r="B12" i="12"/>
  <c r="B13" i="12"/>
  <c r="B14" i="12"/>
  <c r="B15" i="12"/>
  <c r="B3" i="12"/>
  <c r="B6" i="11"/>
  <c r="B7" i="11"/>
  <c r="B8" i="11"/>
  <c r="B9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5" i="11"/>
  <c r="G7" i="10"/>
  <c r="G5" i="10"/>
  <c r="G3" i="10"/>
  <c r="B8" i="10"/>
  <c r="B7" i="10"/>
  <c r="F4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2" i="9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5" i="8"/>
  <c r="D5" i="7"/>
  <c r="D6" i="7"/>
  <c r="D7" i="7"/>
  <c r="D8" i="7"/>
  <c r="D9" i="7"/>
  <c r="D10" i="7"/>
  <c r="D11" i="7"/>
  <c r="D12" i="7"/>
  <c r="D13" i="7"/>
  <c r="D4" i="7"/>
  <c r="C3" i="7"/>
  <c r="C4" i="7"/>
  <c r="C5" i="7"/>
  <c r="C6" i="7"/>
  <c r="C7" i="7"/>
  <c r="C8" i="7"/>
  <c r="C9" i="7"/>
  <c r="C10" i="7"/>
  <c r="C11" i="7"/>
  <c r="C12" i="7"/>
  <c r="C13" i="7"/>
  <c r="C2" i="7"/>
  <c r="H5" i="6"/>
  <c r="I9" i="3"/>
  <c r="I7" i="3"/>
  <c r="I5" i="3"/>
  <c r="I3" i="3"/>
  <c r="F9" i="3"/>
  <c r="F7" i="3"/>
  <c r="F5" i="3"/>
  <c r="F3" i="3"/>
  <c r="B5" i="3"/>
  <c r="C5" i="3"/>
  <c r="B6" i="3"/>
  <c r="C6" i="3" s="1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C4" i="3"/>
  <c r="B4" i="3"/>
  <c r="G12" i="2"/>
  <c r="G10" i="2"/>
  <c r="G8" i="2"/>
  <c r="D12" i="2"/>
  <c r="D10" i="2"/>
  <c r="D8" i="2"/>
  <c r="D5" i="2"/>
  <c r="D3" i="2"/>
  <c r="D8" i="1" a="1"/>
  <c r="D8" i="1" s="1"/>
  <c r="D6" i="1"/>
  <c r="D4" i="1"/>
  <c r="D10" i="1" l="1"/>
  <c r="D9" i="1"/>
</calcChain>
</file>

<file path=xl/sharedStrings.xml><?xml version="1.0" encoding="utf-8"?>
<sst xmlns="http://schemas.openxmlformats.org/spreadsheetml/2006/main" count="122" uniqueCount="112">
  <si>
    <t>Days in Transit</t>
  </si>
  <si>
    <t>Mean</t>
  </si>
  <si>
    <t>Median</t>
  </si>
  <si>
    <t xml:space="preserve">Mode </t>
  </si>
  <si>
    <t>minimum</t>
  </si>
  <si>
    <t>maximum</t>
  </si>
  <si>
    <t>INCLUSIVE</t>
  </si>
  <si>
    <t>Quartile1</t>
  </si>
  <si>
    <t>Quartile2</t>
  </si>
  <si>
    <t>Quartile3</t>
  </si>
  <si>
    <t>Exclusive</t>
  </si>
  <si>
    <t>Order Value</t>
  </si>
  <si>
    <t>Order Values</t>
  </si>
  <si>
    <t>Error</t>
  </si>
  <si>
    <t>Squared Error</t>
  </si>
  <si>
    <t>Variance (population)</t>
  </si>
  <si>
    <t>VAR.P</t>
  </si>
  <si>
    <t>Std Dev (population)</t>
  </si>
  <si>
    <t>STDEV.P</t>
  </si>
  <si>
    <t>Variance (sample)</t>
  </si>
  <si>
    <t>VAR.S</t>
  </si>
  <si>
    <t>Std Dev (sample)</t>
  </si>
  <si>
    <t>STDEV.S</t>
  </si>
  <si>
    <t>Hourly Demand</t>
  </si>
  <si>
    <t>histogram</t>
  </si>
  <si>
    <t>Distance</t>
  </si>
  <si>
    <t>Amount Spent</t>
  </si>
  <si>
    <t>Quarter</t>
  </si>
  <si>
    <t>Sales</t>
  </si>
  <si>
    <t>Q1 2017</t>
  </si>
  <si>
    <t xml:space="preserve"> $3,45,000 </t>
  </si>
  <si>
    <t>Q2 2017</t>
  </si>
  <si>
    <t xml:space="preserve"> $2,85,000 </t>
  </si>
  <si>
    <t>Q3 2017</t>
  </si>
  <si>
    <t xml:space="preserve"> $3,30,000 </t>
  </si>
  <si>
    <t>Q4 2017</t>
  </si>
  <si>
    <t xml:space="preserve"> $4,02,000 </t>
  </si>
  <si>
    <t>Q1 2018</t>
  </si>
  <si>
    <t xml:space="preserve"> $1,99,000 </t>
  </si>
  <si>
    <t>Q2 2018</t>
  </si>
  <si>
    <t xml:space="preserve"> $4,50,000 </t>
  </si>
  <si>
    <t>Q3 2018</t>
  </si>
  <si>
    <t xml:space="preserve"> $3,95,000 </t>
  </si>
  <si>
    <t>Q4 2018</t>
  </si>
  <si>
    <t xml:space="preserve"> $4,07,000 </t>
  </si>
  <si>
    <t>Q1 2019</t>
  </si>
  <si>
    <t>Q2 2019</t>
  </si>
  <si>
    <t>Q3 2019</t>
  </si>
  <si>
    <t>Q4 2019</t>
  </si>
  <si>
    <t>forecast</t>
  </si>
  <si>
    <t>mile driven</t>
  </si>
  <si>
    <t>money spent</t>
  </si>
  <si>
    <t>predicted money spent</t>
  </si>
  <si>
    <t>Month</t>
  </si>
  <si>
    <t>Customers</t>
  </si>
  <si>
    <t>Running Average</t>
  </si>
  <si>
    <t>3-month Running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</si>
  <si>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</si>
  <si>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</si>
  <si>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</si>
  <si>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</si>
  <si>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</si>
  <si>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</si>
  <si>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</si>
  <si>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</si>
  <si>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</si>
  <si>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</si>
  <si>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</si>
  <si>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</si>
  <si>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normal</t>
  </si>
  <si>
    <t>Standard Deviation</t>
  </si>
  <si>
    <t>Seconds</t>
  </si>
  <si>
    <t>Probability</t>
  </si>
  <si>
    <t>Average</t>
  </si>
  <si>
    <t>Between 10 and 15</t>
  </si>
  <si>
    <t>Exponential</t>
  </si>
  <si>
    <t>uniform probability</t>
  </si>
  <si>
    <t>Minimum</t>
  </si>
  <si>
    <t>Probability of Value 1</t>
  </si>
  <si>
    <t>Maximum</t>
  </si>
  <si>
    <t># Values</t>
  </si>
  <si>
    <t>Probability of Value 1 or Value 2</t>
  </si>
  <si>
    <t>Value 1</t>
  </si>
  <si>
    <t>Probability of Value 1 and Value 2</t>
  </si>
  <si>
    <t>Value 2</t>
  </si>
  <si>
    <t>Real Value</t>
  </si>
  <si>
    <t>Probability of Success</t>
  </si>
  <si>
    <t>Number of Trials</t>
  </si>
  <si>
    <t>Successes</t>
  </si>
  <si>
    <t>Percentage of Outcomes</t>
  </si>
  <si>
    <t>binomial distribution</t>
  </si>
  <si>
    <t>Specific</t>
  </si>
  <si>
    <t>Total</t>
  </si>
  <si>
    <t>poisson distribution</t>
  </si>
  <si>
    <t>Column1</t>
  </si>
  <si>
    <t>Column2</t>
  </si>
  <si>
    <t>Covariance</t>
  </si>
  <si>
    <t>Covariance Function</t>
  </si>
  <si>
    <t>Correlation Formula</t>
  </si>
  <si>
    <t>Given Circumstances</t>
  </si>
  <si>
    <t>Base Rate (Green)</t>
  </si>
  <si>
    <t>Reported Green</t>
  </si>
  <si>
    <t>Reported Blue</t>
  </si>
  <si>
    <t>Accuracy</t>
  </si>
  <si>
    <t>Actually Green</t>
  </si>
  <si>
    <t>Actually Blue</t>
  </si>
  <si>
    <t>Probability of Green</t>
  </si>
  <si>
    <t>Probability of Blue</t>
  </si>
  <si>
    <t>Prob. Cab is Blue When Reported Blue</t>
  </si>
  <si>
    <t>Prob. Cab is Green When Reported Green</t>
  </si>
  <si>
    <t>Probability correct</t>
  </si>
  <si>
    <t>Probability incorrect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</si>
</sst>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_);_(* \(#,##0\);_(* &quot;-&quot;??_);_(@_)"/>
    <numFmt numFmtId="165" formatCode="0.0000000000%"/>
    <numFmt numFmtId="166" formatCode="0.000000000000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0" borderId="0" xfId="0"/>
    <xf numFmtId="0" fontId="2" fillId="0" borderId="0" xfId="0" applyFont="1" applyAlignment="1">
      <alignment horizontal="center"/>
    </xf>
    <xf numFmtId="164" fontId="0" fillId="0" borderId="0" xfId="1" applyNumberFormat="1" applyFont="1"/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43" fontId="0" fillId="0" borderId="0" xfId="1" applyFont="1"/>
    <xf numFmtId="164" fontId="0" fillId="0" borderId="0" xfId="1" applyNumberFormat="1" applyFont="1"/>
    <xf numFmtId="43" fontId="0" fillId="0" borderId="0" xfId="0" applyNumberFormat="1"/>
    <xf numFmtId="43" fontId="0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/>
    <xf numFmtId="0" fontId="0" fillId="0" borderId="0" xfId="0"/>
    <xf numFmtId="0" fontId="2" fillId="0" borderId="0" xfId="0" applyFont="1"/>
    <xf numFmtId="9" fontId="0" fillId="0" borderId="0" xfId="0" applyNumberFormat="1"/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0" fontId="0" fillId="0" borderId="0" xfId="2" applyNumberFormat="1" applyFont="1"/>
    <xf numFmtId="0" fontId="2" fillId="0" borderId="0" xfId="0" applyFont="1"/>
    <xf numFmtId="0" fontId="5" fillId="0" borderId="0" xfId="0" applyFont="1"/>
    <xf numFmtId="165" fontId="0" fillId="0" borderId="0" xfId="2" applyNumberFormat="1" applyFont="1"/>
    <xf numFmtId="10" fontId="0" fillId="0" borderId="0" xfId="0" applyNumberFormat="1"/>
    <xf numFmtId="166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0000000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Amount Spent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Ref>
              <c:f>Sheet5!$A$2:$A$27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20</c:v>
                </c:pt>
                <c:pt idx="9">
                  <c:v>22</c:v>
                </c:pt>
                <c:pt idx="10">
                  <c:v>45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75</c:v>
                </c:pt>
                <c:pt idx="15">
                  <c:v>75</c:v>
                </c:pt>
                <c:pt idx="16">
                  <c:v>75</c:v>
                </c:pt>
                <c:pt idx="17">
                  <c:v>75</c:v>
                </c:pt>
                <c:pt idx="18">
                  <c:v>85</c:v>
                </c:pt>
                <c:pt idx="19">
                  <c:v>87</c:v>
                </c:pt>
                <c:pt idx="20">
                  <c:v>99</c:v>
                </c:pt>
                <c:pt idx="21">
                  <c:v>100</c:v>
                </c:pt>
                <c:pt idx="22">
                  <c:v>125</c:v>
                </c:pt>
                <c:pt idx="23">
                  <c:v>130</c:v>
                </c:pt>
                <c:pt idx="24">
                  <c:v>145</c:v>
                </c:pt>
                <c:pt idx="25">
                  <c:v>152</c:v>
                </c:pt>
              </c:numCache>
            </c:numRef>
          </c:xVal>
          <c:yVal>
            <c:numRef>
              <c:f>Sheet5!$B$2:$B$27</c:f>
              <c:numCache>
                <c:formatCode>General</c:formatCode>
                <c:ptCount val="26"/>
                <c:pt idx="0">
                  <c:v>35</c:v>
                </c:pt>
                <c:pt idx="1">
                  <c:v>13</c:v>
                </c:pt>
                <c:pt idx="2">
                  <c:v>40</c:v>
                </c:pt>
                <c:pt idx="3">
                  <c:v>20</c:v>
                </c:pt>
                <c:pt idx="4">
                  <c:v>15</c:v>
                </c:pt>
                <c:pt idx="5">
                  <c:v>35</c:v>
                </c:pt>
                <c:pt idx="6">
                  <c:v>35</c:v>
                </c:pt>
                <c:pt idx="7">
                  <c:v>50</c:v>
                </c:pt>
                <c:pt idx="8">
                  <c:v>25</c:v>
                </c:pt>
                <c:pt idx="9">
                  <c:v>40</c:v>
                </c:pt>
                <c:pt idx="10">
                  <c:v>35</c:v>
                </c:pt>
                <c:pt idx="11">
                  <c:v>75</c:v>
                </c:pt>
                <c:pt idx="12">
                  <c:v>125</c:v>
                </c:pt>
                <c:pt idx="13">
                  <c:v>67</c:v>
                </c:pt>
                <c:pt idx="14">
                  <c:v>99</c:v>
                </c:pt>
                <c:pt idx="15">
                  <c:v>149</c:v>
                </c:pt>
                <c:pt idx="16">
                  <c:v>110</c:v>
                </c:pt>
                <c:pt idx="17">
                  <c:v>120</c:v>
                </c:pt>
                <c:pt idx="18">
                  <c:v>130</c:v>
                </c:pt>
                <c:pt idx="19">
                  <c:v>75</c:v>
                </c:pt>
                <c:pt idx="20">
                  <c:v>101</c:v>
                </c:pt>
                <c:pt idx="21">
                  <c:v>200</c:v>
                </c:pt>
                <c:pt idx="22">
                  <c:v>125</c:v>
                </c:pt>
                <c:pt idx="23">
                  <c:v>220</c:v>
                </c:pt>
                <c:pt idx="24">
                  <c:v>150</c:v>
                </c:pt>
                <c:pt idx="25">
                  <c:v>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AE-499B-8857-A264BD58B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224832"/>
        <c:axId val="536225248"/>
      </c:scatterChart>
      <c:valAx>
        <c:axId val="53622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225248"/>
        <c:crosses val="autoZero"/>
        <c:crossBetween val="midCat"/>
      </c:valAx>
      <c:valAx>
        <c:axId val="53622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22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normal</a:t>
            </a:r>
            <a:r>
              <a:rPr lang="en-IN" baseline="0"/>
              <a:t> curve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Sheet8!$A$5:$A$69</c:f>
              <c:numCache>
                <c:formatCode>General</c:formatCode>
                <c:ptCount val="65"/>
                <c:pt idx="0">
                  <c:v>36</c:v>
                </c:pt>
                <c:pt idx="1">
                  <c:v>38</c:v>
                </c:pt>
                <c:pt idx="2">
                  <c:v>40</c:v>
                </c:pt>
                <c:pt idx="3">
                  <c:v>42</c:v>
                </c:pt>
                <c:pt idx="4">
                  <c:v>44</c:v>
                </c:pt>
                <c:pt idx="5">
                  <c:v>46</c:v>
                </c:pt>
                <c:pt idx="6">
                  <c:v>48</c:v>
                </c:pt>
                <c:pt idx="7">
                  <c:v>50</c:v>
                </c:pt>
                <c:pt idx="8">
                  <c:v>52</c:v>
                </c:pt>
                <c:pt idx="9">
                  <c:v>54</c:v>
                </c:pt>
                <c:pt idx="10">
                  <c:v>56</c:v>
                </c:pt>
                <c:pt idx="11">
                  <c:v>58</c:v>
                </c:pt>
                <c:pt idx="12">
                  <c:v>60</c:v>
                </c:pt>
                <c:pt idx="13">
                  <c:v>62</c:v>
                </c:pt>
                <c:pt idx="14">
                  <c:v>64</c:v>
                </c:pt>
                <c:pt idx="15">
                  <c:v>66</c:v>
                </c:pt>
                <c:pt idx="16">
                  <c:v>68</c:v>
                </c:pt>
                <c:pt idx="17">
                  <c:v>70</c:v>
                </c:pt>
                <c:pt idx="18">
                  <c:v>72</c:v>
                </c:pt>
                <c:pt idx="19">
                  <c:v>74</c:v>
                </c:pt>
                <c:pt idx="20">
                  <c:v>76</c:v>
                </c:pt>
                <c:pt idx="21">
                  <c:v>78</c:v>
                </c:pt>
                <c:pt idx="22">
                  <c:v>80</c:v>
                </c:pt>
                <c:pt idx="23">
                  <c:v>82</c:v>
                </c:pt>
                <c:pt idx="24">
                  <c:v>84</c:v>
                </c:pt>
                <c:pt idx="25">
                  <c:v>86</c:v>
                </c:pt>
                <c:pt idx="26">
                  <c:v>88</c:v>
                </c:pt>
                <c:pt idx="27">
                  <c:v>90</c:v>
                </c:pt>
                <c:pt idx="28">
                  <c:v>92</c:v>
                </c:pt>
                <c:pt idx="29">
                  <c:v>94</c:v>
                </c:pt>
                <c:pt idx="30">
                  <c:v>96</c:v>
                </c:pt>
                <c:pt idx="31">
                  <c:v>98</c:v>
                </c:pt>
                <c:pt idx="32">
                  <c:v>100</c:v>
                </c:pt>
                <c:pt idx="33">
                  <c:v>102</c:v>
                </c:pt>
                <c:pt idx="34">
                  <c:v>104</c:v>
                </c:pt>
                <c:pt idx="35">
                  <c:v>106</c:v>
                </c:pt>
                <c:pt idx="36">
                  <c:v>108</c:v>
                </c:pt>
                <c:pt idx="37">
                  <c:v>110</c:v>
                </c:pt>
                <c:pt idx="38">
                  <c:v>112</c:v>
                </c:pt>
                <c:pt idx="39">
                  <c:v>114</c:v>
                </c:pt>
                <c:pt idx="40">
                  <c:v>116</c:v>
                </c:pt>
                <c:pt idx="41">
                  <c:v>118</c:v>
                </c:pt>
                <c:pt idx="42">
                  <c:v>120</c:v>
                </c:pt>
                <c:pt idx="43">
                  <c:v>122</c:v>
                </c:pt>
                <c:pt idx="44">
                  <c:v>124</c:v>
                </c:pt>
                <c:pt idx="45">
                  <c:v>126</c:v>
                </c:pt>
                <c:pt idx="46">
                  <c:v>128</c:v>
                </c:pt>
                <c:pt idx="47">
                  <c:v>130</c:v>
                </c:pt>
                <c:pt idx="48">
                  <c:v>132</c:v>
                </c:pt>
                <c:pt idx="49">
                  <c:v>134</c:v>
                </c:pt>
                <c:pt idx="50">
                  <c:v>136</c:v>
                </c:pt>
                <c:pt idx="51">
                  <c:v>138</c:v>
                </c:pt>
                <c:pt idx="52">
                  <c:v>140</c:v>
                </c:pt>
                <c:pt idx="53">
                  <c:v>142</c:v>
                </c:pt>
                <c:pt idx="54">
                  <c:v>144</c:v>
                </c:pt>
                <c:pt idx="55">
                  <c:v>146</c:v>
                </c:pt>
                <c:pt idx="56">
                  <c:v>148</c:v>
                </c:pt>
                <c:pt idx="57">
                  <c:v>150</c:v>
                </c:pt>
                <c:pt idx="58">
                  <c:v>152</c:v>
                </c:pt>
                <c:pt idx="59">
                  <c:v>154</c:v>
                </c:pt>
                <c:pt idx="60">
                  <c:v>156</c:v>
                </c:pt>
                <c:pt idx="61">
                  <c:v>158</c:v>
                </c:pt>
                <c:pt idx="62">
                  <c:v>160</c:v>
                </c:pt>
                <c:pt idx="63">
                  <c:v>162</c:v>
                </c:pt>
                <c:pt idx="64">
                  <c:v>164</c:v>
                </c:pt>
              </c:numCache>
            </c:numRef>
          </c:xVal>
          <c:yVal>
            <c:numRef>
              <c:f>Sheet8!$B$5:$B$69</c:f>
              <c:numCache>
                <c:formatCode>General</c:formatCode>
                <c:ptCount val="65"/>
                <c:pt idx="0">
                  <c:v>2.9632884112517205E-6</c:v>
                </c:pt>
                <c:pt idx="1">
                  <c:v>5.1877475320245033E-6</c:v>
                </c:pt>
                <c:pt idx="2">
                  <c:v>8.9220150509923572E-6</c:v>
                </c:pt>
                <c:pt idx="3">
                  <c:v>1.5073922560245645E-5</c:v>
                </c:pt>
                <c:pt idx="4">
                  <c:v>2.5018934914508668E-5</c:v>
                </c:pt>
                <c:pt idx="5">
                  <c:v>4.0793462007584798E-5</c:v>
                </c:pt>
                <c:pt idx="6">
                  <c:v>6.5341864085024788E-5</c:v>
                </c:pt>
                <c:pt idx="7">
                  <c:v>1.0281859975274034E-4</c:v>
                </c:pt>
                <c:pt idx="8">
                  <c:v>1.5893921343098936E-4</c:v>
                </c:pt>
                <c:pt idx="9">
                  <c:v>2.4136241520128577E-4</c:v>
                </c:pt>
                <c:pt idx="10">
                  <c:v>3.6007041207962535E-4</c:v>
                </c:pt>
                <c:pt idx="11">
                  <c:v>5.2769677219866452E-4</c:v>
                </c:pt>
                <c:pt idx="12">
                  <c:v>7.597324015864961E-4</c:v>
                </c:pt>
                <c:pt idx="13">
                  <c:v>1.0745238742432661E-3</c:v>
                </c:pt>
                <c:pt idx="14">
                  <c:v>1.49296868632286E-3</c:v>
                </c:pt>
                <c:pt idx="15">
                  <c:v>2.0378139818590327E-3</c:v>
                </c:pt>
                <c:pt idx="16">
                  <c:v>2.732483736348146E-3</c:v>
                </c:pt>
                <c:pt idx="17">
                  <c:v>3.5993977675458709E-3</c:v>
                </c:pt>
                <c:pt idx="18">
                  <c:v>4.6578050713943445E-3</c:v>
                </c:pt>
                <c:pt idx="19">
                  <c:v>5.92123073937279E-3</c:v>
                </c:pt>
                <c:pt idx="20">
                  <c:v>7.3947223119637025E-3</c:v>
                </c:pt>
                <c:pt idx="21">
                  <c:v>9.072165494151874E-3</c:v>
                </c:pt>
                <c:pt idx="22">
                  <c:v>1.0934004978399576E-2</c:v>
                </c:pt>
                <c:pt idx="23">
                  <c:v>1.2945736998880863E-2</c:v>
                </c:pt>
                <c:pt idx="24">
                  <c:v>1.505752183114163E-2</c:v>
                </c:pt>
                <c:pt idx="25">
                  <c:v>1.7205188393549176E-2</c:v>
                </c:pt>
                <c:pt idx="26">
                  <c:v>1.9312770184098847E-2</c:v>
                </c:pt>
                <c:pt idx="27">
                  <c:v>2.129653370149015E-2</c:v>
                </c:pt>
                <c:pt idx="28">
                  <c:v>2.3070259545128195E-2</c:v>
                </c:pt>
                <c:pt idx="29">
                  <c:v>2.4551342686888224E-2</c:v>
                </c:pt>
                <c:pt idx="30">
                  <c:v>2.5667124973067602E-2</c:v>
                </c:pt>
                <c:pt idx="31">
                  <c:v>2.6360789392387847E-2</c:v>
                </c:pt>
                <c:pt idx="32">
                  <c:v>2.6596152026762181E-2</c:v>
                </c:pt>
                <c:pt idx="33">
                  <c:v>2.6360789392387847E-2</c:v>
                </c:pt>
                <c:pt idx="34">
                  <c:v>2.5667124973067602E-2</c:v>
                </c:pt>
                <c:pt idx="35">
                  <c:v>2.4551342686888224E-2</c:v>
                </c:pt>
                <c:pt idx="36">
                  <c:v>2.3070259545128195E-2</c:v>
                </c:pt>
                <c:pt idx="37">
                  <c:v>2.129653370149015E-2</c:v>
                </c:pt>
                <c:pt idx="38">
                  <c:v>1.9312770184098847E-2</c:v>
                </c:pt>
                <c:pt idx="39">
                  <c:v>1.7205188393549176E-2</c:v>
                </c:pt>
                <c:pt idx="40">
                  <c:v>1.505752183114163E-2</c:v>
                </c:pt>
                <c:pt idx="41">
                  <c:v>1.2945736998880863E-2</c:v>
                </c:pt>
                <c:pt idx="42">
                  <c:v>1.0934004978399576E-2</c:v>
                </c:pt>
                <c:pt idx="43">
                  <c:v>9.072165494151874E-3</c:v>
                </c:pt>
                <c:pt idx="44">
                  <c:v>7.3947223119637025E-3</c:v>
                </c:pt>
                <c:pt idx="45">
                  <c:v>5.92123073937279E-3</c:v>
                </c:pt>
                <c:pt idx="46">
                  <c:v>4.6578050713943445E-3</c:v>
                </c:pt>
                <c:pt idx="47">
                  <c:v>3.5993977675458709E-3</c:v>
                </c:pt>
                <c:pt idx="48">
                  <c:v>2.732483736348146E-3</c:v>
                </c:pt>
                <c:pt idx="49">
                  <c:v>2.0378139818590327E-3</c:v>
                </c:pt>
                <c:pt idx="50">
                  <c:v>1.49296868632286E-3</c:v>
                </c:pt>
                <c:pt idx="51">
                  <c:v>1.0745238742432661E-3</c:v>
                </c:pt>
                <c:pt idx="52">
                  <c:v>7.597324015864961E-4</c:v>
                </c:pt>
                <c:pt idx="53">
                  <c:v>5.2769677219866452E-4</c:v>
                </c:pt>
                <c:pt idx="54">
                  <c:v>3.6007041207962535E-4</c:v>
                </c:pt>
                <c:pt idx="55">
                  <c:v>2.4136241520128577E-4</c:v>
                </c:pt>
                <c:pt idx="56">
                  <c:v>1.5893921343098936E-4</c:v>
                </c:pt>
                <c:pt idx="57">
                  <c:v>1.0281859975274034E-4</c:v>
                </c:pt>
                <c:pt idx="58">
                  <c:v>6.5341864085024788E-5</c:v>
                </c:pt>
                <c:pt idx="59">
                  <c:v>4.0793462007584798E-5</c:v>
                </c:pt>
                <c:pt idx="60">
                  <c:v>2.5018934914508668E-5</c:v>
                </c:pt>
                <c:pt idx="61">
                  <c:v>1.5073922560245645E-5</c:v>
                </c:pt>
                <c:pt idx="62">
                  <c:v>8.9220150509923572E-6</c:v>
                </c:pt>
                <c:pt idx="63">
                  <c:v>5.1877475320245033E-6</c:v>
                </c:pt>
                <c:pt idx="64">
                  <c:v>2.9632884112517205E-6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25-413F-8322-855503AD8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800624"/>
        <c:axId val="1194798960"/>
      </c:scatterChart>
      <c:valAx>
        <c:axId val="119480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798960"/>
        <c:crosses val="autoZero"/>
        <c:crossBetween val="midCat"/>
      </c:valAx>
      <c:valAx>
        <c:axId val="119479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80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Sheet9!$B$1</c:f>
              <c:strCache>
                <c:ptCount val="1"/>
                <c:pt idx="0">
                  <c:v>Probability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Sheet9!$A$2:$A$151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xVal>
          <c:yVal>
            <c:numRef>
              <c:f>Sheet9!$B$2:$B$151</c:f>
              <c:numCache>
                <c:formatCode>General</c:formatCode>
                <c:ptCount val="150"/>
                <c:pt idx="0">
                  <c:v>1.9603973466135106E-2</c:v>
                </c:pt>
                <c:pt idx="1">
                  <c:v>1.9215788783046465E-2</c:v>
                </c:pt>
                <c:pt idx="2">
                  <c:v>1.8835290671684976E-2</c:v>
                </c:pt>
                <c:pt idx="3">
                  <c:v>1.8462326927732715E-2</c:v>
                </c:pt>
                <c:pt idx="4">
                  <c:v>1.809674836071919E-2</c:v>
                </c:pt>
                <c:pt idx="5">
                  <c:v>1.7738408734343149E-2</c:v>
                </c:pt>
                <c:pt idx="6">
                  <c:v>1.7387164707976119E-2</c:v>
                </c:pt>
                <c:pt idx="7">
                  <c:v>1.7042875779324226E-2</c:v>
                </c:pt>
                <c:pt idx="8">
                  <c:v>1.6705404228225439E-2</c:v>
                </c:pt>
                <c:pt idx="9">
                  <c:v>1.6374615061559638E-2</c:v>
                </c:pt>
                <c:pt idx="10">
                  <c:v>1.6050375959249571E-2</c:v>
                </c:pt>
                <c:pt idx="11">
                  <c:v>1.5732557221331069E-2</c:v>
                </c:pt>
                <c:pt idx="12">
                  <c:v>1.5421031716071325E-2</c:v>
                </c:pt>
                <c:pt idx="13">
                  <c:v>1.5115674829114511E-2</c:v>
                </c:pt>
                <c:pt idx="14">
                  <c:v>1.4816364413634358E-2</c:v>
                </c:pt>
                <c:pt idx="15">
                  <c:v>1.4522980741473819E-2</c:v>
                </c:pt>
                <c:pt idx="16">
                  <c:v>1.4235406455252193E-2</c:v>
                </c:pt>
                <c:pt idx="17">
                  <c:v>1.3953526521420621E-2</c:v>
                </c:pt>
                <c:pt idx="18">
                  <c:v>1.3677228184247117E-2</c:v>
                </c:pt>
                <c:pt idx="19">
                  <c:v>1.3406400920712786E-2</c:v>
                </c:pt>
                <c:pt idx="20">
                  <c:v>1.3140936396301135E-2</c:v>
                </c:pt>
                <c:pt idx="21">
                  <c:v>1.2880728421662829E-2</c:v>
                </c:pt>
                <c:pt idx="22">
                  <c:v>1.2625672910138519E-2</c:v>
                </c:pt>
                <c:pt idx="23">
                  <c:v>1.2375667836122817E-2</c:v>
                </c:pt>
                <c:pt idx="24">
                  <c:v>1.2130613194252668E-2</c:v>
                </c:pt>
                <c:pt idx="25">
                  <c:v>1.1890410959403888E-2</c:v>
                </c:pt>
                <c:pt idx="26">
                  <c:v>1.1654965047479792E-2</c:v>
                </c:pt>
                <c:pt idx="27">
                  <c:v>1.1424181276976298E-2</c:v>
                </c:pt>
                <c:pt idx="28">
                  <c:v>1.1197967331308041E-2</c:v>
                </c:pt>
                <c:pt idx="29">
                  <c:v>1.0976232721880528E-2</c:v>
                </c:pt>
                <c:pt idx="30">
                  <c:v>1.075888875189349E-2</c:v>
                </c:pt>
                <c:pt idx="31">
                  <c:v>1.0545848480860971E-2</c:v>
                </c:pt>
                <c:pt idx="32">
                  <c:v>1.0337026689833984E-2</c:v>
                </c:pt>
                <c:pt idx="33">
                  <c:v>1.0132339847311791E-2</c:v>
                </c:pt>
                <c:pt idx="34">
                  <c:v>9.9317060758281894E-3</c:v>
                </c:pt>
                <c:pt idx="35">
                  <c:v>9.7350451191994345E-3</c:v>
                </c:pt>
                <c:pt idx="36">
                  <c:v>9.5422783104206887E-3</c:v>
                </c:pt>
                <c:pt idx="37">
                  <c:v>9.3533285401981841E-3</c:v>
                </c:pt>
                <c:pt idx="38">
                  <c:v>9.1681202261044703E-3</c:v>
                </c:pt>
                <c:pt idx="39">
                  <c:v>8.9865792823444323E-3</c:v>
                </c:pt>
                <c:pt idx="40">
                  <c:v>8.8086330901199859E-3</c:v>
                </c:pt>
                <c:pt idx="41">
                  <c:v>8.6342104685815952E-3</c:v>
                </c:pt>
                <c:pt idx="42">
                  <c:v>8.4632416463549763E-3</c:v>
                </c:pt>
                <c:pt idx="43">
                  <c:v>8.2956582336316271E-3</c:v>
                </c:pt>
                <c:pt idx="44">
                  <c:v>8.1313931948119832E-3</c:v>
                </c:pt>
                <c:pt idx="45">
                  <c:v>7.9703808216902827E-3</c:v>
                </c:pt>
                <c:pt idx="46">
                  <c:v>7.8125567071704212E-3</c:v>
                </c:pt>
                <c:pt idx="47">
                  <c:v>7.6578577195022413E-3</c:v>
                </c:pt>
                <c:pt idx="48">
                  <c:v>7.5062219770279919E-3</c:v>
                </c:pt>
                <c:pt idx="49">
                  <c:v>7.3575888234288468E-3</c:v>
                </c:pt>
                <c:pt idx="50">
                  <c:v>7.2118988034615659E-3</c:v>
                </c:pt>
                <c:pt idx="51">
                  <c:v>7.0690936391756033E-3</c:v>
                </c:pt>
                <c:pt idx="52">
                  <c:v>6.9291162066011484E-3</c:v>
                </c:pt>
                <c:pt idx="53">
                  <c:v>6.7919105128987824E-3</c:v>
                </c:pt>
                <c:pt idx="54">
                  <c:v>6.6574216739615916E-3</c:v>
                </c:pt>
                <c:pt idx="55">
                  <c:v>6.5255958924607897E-3</c:v>
                </c:pt>
                <c:pt idx="56">
                  <c:v>6.396380436326077E-3</c:v>
                </c:pt>
                <c:pt idx="57">
                  <c:v>6.269723617652107E-3</c:v>
                </c:pt>
                <c:pt idx="58">
                  <c:v>6.1455747720226255E-3</c:v>
                </c:pt>
                <c:pt idx="59">
                  <c:v>6.0238842382440427E-3</c:v>
                </c:pt>
                <c:pt idx="60">
                  <c:v>5.9046033384802842E-3</c:v>
                </c:pt>
                <c:pt idx="61">
                  <c:v>5.7876843587810122E-3</c:v>
                </c:pt>
                <c:pt idx="62">
                  <c:v>5.6730805299954083E-3</c:v>
                </c:pt>
                <c:pt idx="63">
                  <c:v>5.5607460090638825E-3</c:v>
                </c:pt>
                <c:pt idx="64">
                  <c:v>5.4506358606802516E-3</c:v>
                </c:pt>
                <c:pt idx="65">
                  <c:v>5.3427060393170071E-3</c:v>
                </c:pt>
                <c:pt idx="66">
                  <c:v>5.23691337160652E-3</c:v>
                </c:pt>
                <c:pt idx="67">
                  <c:v>5.1332155390711176E-3</c:v>
                </c:pt>
                <c:pt idx="68">
                  <c:v>5.0315710611951291E-3</c:v>
                </c:pt>
                <c:pt idx="69">
                  <c:v>4.931939278832129E-3</c:v>
                </c:pt>
                <c:pt idx="70">
                  <c:v>4.834280337940729E-3</c:v>
                </c:pt>
                <c:pt idx="71">
                  <c:v>4.7385551736424357E-3</c:v>
                </c:pt>
                <c:pt idx="72">
                  <c:v>4.644725494595177E-3</c:v>
                </c:pt>
                <c:pt idx="73">
                  <c:v>4.5527537676762547E-3</c:v>
                </c:pt>
                <c:pt idx="74">
                  <c:v>4.4626032029685967E-3</c:v>
                </c:pt>
                <c:pt idx="75">
                  <c:v>4.3742377390442949E-3</c:v>
                </c:pt>
                <c:pt idx="76">
                  <c:v>4.2876220285395592E-3</c:v>
                </c:pt>
                <c:pt idx="77">
                  <c:v>4.2027214240152946E-3</c:v>
                </c:pt>
                <c:pt idx="78">
                  <c:v>4.1195019640976691E-3</c:v>
                </c:pt>
                <c:pt idx="79">
                  <c:v>4.0379303598931078E-3</c:v>
                </c:pt>
                <c:pt idx="80">
                  <c:v>3.957973981672293E-3</c:v>
                </c:pt>
                <c:pt idx="81">
                  <c:v>3.8796008458178376E-3</c:v>
                </c:pt>
                <c:pt idx="82">
                  <c:v>3.80277960203041E-3</c:v>
                </c:pt>
                <c:pt idx="83">
                  <c:v>3.7274795207881996E-3</c:v>
                </c:pt>
                <c:pt idx="84">
                  <c:v>3.6536704810546934E-3</c:v>
                </c:pt>
                <c:pt idx="85">
                  <c:v>3.5813229582298644E-3</c:v>
                </c:pt>
                <c:pt idx="86">
                  <c:v>3.5104080123399372E-3</c:v>
                </c:pt>
                <c:pt idx="87">
                  <c:v>3.4408972764610108E-3</c:v>
                </c:pt>
                <c:pt idx="88">
                  <c:v>3.3727629453719102E-3</c:v>
                </c:pt>
                <c:pt idx="89">
                  <c:v>3.3059777644317309E-3</c:v>
                </c:pt>
                <c:pt idx="90">
                  <c:v>3.2405150186776148E-3</c:v>
                </c:pt>
                <c:pt idx="91">
                  <c:v>3.1763485221384135E-3</c:v>
                </c:pt>
                <c:pt idx="92">
                  <c:v>3.1134526073599463E-3</c:v>
                </c:pt>
                <c:pt idx="93">
                  <c:v>3.0518021151376773E-3</c:v>
                </c:pt>
                <c:pt idx="94">
                  <c:v>2.991372384452701E-3</c:v>
                </c:pt>
                <c:pt idx="95">
                  <c:v>2.9321392426070033E-3</c:v>
                </c:pt>
                <c:pt idx="96">
                  <c:v>2.8740789955540584E-3</c:v>
                </c:pt>
                <c:pt idx="97">
                  <c:v>2.8171684184209E-3</c:v>
                </c:pt>
                <c:pt idx="98">
                  <c:v>2.7613847462178566E-3</c:v>
                </c:pt>
                <c:pt idx="99">
                  <c:v>2.7067056647322543E-3</c:v>
                </c:pt>
                <c:pt idx="100">
                  <c:v>2.6531093016024343E-3</c:v>
                </c:pt>
                <c:pt idx="101">
                  <c:v>2.6005742175685184E-3</c:v>
                </c:pt>
                <c:pt idx="102">
                  <c:v>2.5490793978964151E-3</c:v>
                </c:pt>
                <c:pt idx="103">
                  <c:v>2.4986042439716482E-3</c:v>
                </c:pt>
                <c:pt idx="104">
                  <c:v>2.449128565059638E-3</c:v>
                </c:pt>
                <c:pt idx="105">
                  <c:v>2.4006325702291345E-3</c:v>
                </c:pt>
                <c:pt idx="106">
                  <c:v>2.3530968604355837E-3</c:v>
                </c:pt>
                <c:pt idx="107">
                  <c:v>2.3065024207612503E-3</c:v>
                </c:pt>
                <c:pt idx="108">
                  <c:v>2.2608306128089968E-3</c:v>
                </c:pt>
                <c:pt idx="109">
                  <c:v>2.2160631672466773E-3</c:v>
                </c:pt>
                <c:pt idx="110">
                  <c:v>2.1721821764991594E-3</c:v>
                </c:pt>
                <c:pt idx="111">
                  <c:v>2.1291700875850561E-3</c:v>
                </c:pt>
                <c:pt idx="112">
                  <c:v>2.0870096950952998E-3</c:v>
                </c:pt>
                <c:pt idx="113">
                  <c:v>2.0456841343107486E-3</c:v>
                </c:pt>
                <c:pt idx="114">
                  <c:v>2.005176874456074E-3</c:v>
                </c:pt>
                <c:pt idx="115">
                  <c:v>1.9654717120872311E-3</c:v>
                </c:pt>
                <c:pt idx="116">
                  <c:v>1.9265527646098607E-3</c:v>
                </c:pt>
                <c:pt idx="117">
                  <c:v>1.8884044639260469E-3</c:v>
                </c:pt>
                <c:pt idx="118">
                  <c:v>1.8510115502068658E-3</c:v>
                </c:pt>
                <c:pt idx="119">
                  <c:v>1.8143590657882503E-3</c:v>
                </c:pt>
                <c:pt idx="120">
                  <c:v>1.7784323491877268E-3</c:v>
                </c:pt>
                <c:pt idx="121">
                  <c:v>1.7432170292396259E-3</c:v>
                </c:pt>
                <c:pt idx="122">
                  <c:v>1.7086990193464248E-3</c:v>
                </c:pt>
                <c:pt idx="123">
                  <c:v>1.6748645118439193E-3</c:v>
                </c:pt>
                <c:pt idx="124">
                  <c:v>1.6416999724779761E-3</c:v>
                </c:pt>
                <c:pt idx="125">
                  <c:v>1.6091921349906488E-3</c:v>
                </c:pt>
                <c:pt idx="126">
                  <c:v>1.577327995813499E-3</c:v>
                </c:pt>
                <c:pt idx="127">
                  <c:v>1.5460948088659948E-3</c:v>
                </c:pt>
                <c:pt idx="128">
                  <c:v>1.5154800804569096E-3</c:v>
                </c:pt>
                <c:pt idx="129">
                  <c:v>1.4854715642866776E-3</c:v>
                </c:pt>
                <c:pt idx="130">
                  <c:v>1.4560572565487117E-3</c:v>
                </c:pt>
                <c:pt idx="131">
                  <c:v>1.427225391127721E-3</c:v>
                </c:pt>
                <c:pt idx="132">
                  <c:v>1.3989644348931071E-3</c:v>
                </c:pt>
                <c:pt idx="133">
                  <c:v>1.3712630830855584E-3</c:v>
                </c:pt>
                <c:pt idx="134">
                  <c:v>1.3441102547949951E-3</c:v>
                </c:pt>
                <c:pt idx="135">
                  <c:v>1.3174950885280589E-3</c:v>
                </c:pt>
                <c:pt idx="136">
                  <c:v>1.2914069378633694E-3</c:v>
                </c:pt>
                <c:pt idx="137">
                  <c:v>1.265835367192814E-3</c:v>
                </c:pt>
                <c:pt idx="138">
                  <c:v>1.2407701475471659E-3</c:v>
                </c:pt>
                <c:pt idx="139">
                  <c:v>1.2162012525043591E-3</c:v>
                </c:pt>
                <c:pt idx="140">
                  <c:v>1.1921188541787874E-3</c:v>
                </c:pt>
                <c:pt idx="141">
                  <c:v>1.1685133192900167E-3</c:v>
                </c:pt>
                <c:pt idx="142">
                  <c:v>1.1453752053093471E-3</c:v>
                </c:pt>
                <c:pt idx="143">
                  <c:v>1.1226952566826746E-3</c:v>
                </c:pt>
                <c:pt idx="144">
                  <c:v>1.1004644011281446E-3</c:v>
                </c:pt>
                <c:pt idx="145">
                  <c:v>1.0786737460071205E-3</c:v>
                </c:pt>
                <c:pt idx="146">
                  <c:v>1.0573145747670074E-3</c:v>
                </c:pt>
                <c:pt idx="147">
                  <c:v>1.0363783434545167E-3</c:v>
                </c:pt>
                <c:pt idx="148">
                  <c:v>1.01585667729797E-3</c:v>
                </c:pt>
                <c:pt idx="149">
                  <c:v>9.95741367357279E-4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90-4D4D-8908-A56127BA9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800816"/>
        <c:axId val="1161802480"/>
      </c:scatterChart>
      <c:valAx>
        <c:axId val="116180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802480"/>
        <c:crosses val="autoZero"/>
        <c:crossBetween val="midCat"/>
      </c:valAx>
      <c:valAx>
        <c:axId val="116180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80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Sheet11!$B$4</c:f>
              <c:strCache>
                <c:ptCount val="1"/>
                <c:pt idx="0">
                  <c:v>Percentage of Outcomes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Sheet11!$A$5:$A$25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Sheet11!$B$5:$B$25</c:f>
              <c:numCache>
                <c:formatCode>0.0000000000%</c:formatCode>
                <c:ptCount val="21"/>
                <c:pt idx="0">
                  <c:v>6.9485158708621573E-3</c:v>
                </c:pt>
                <c:pt idx="1">
                  <c:v>3.9196756194607045E-2</c:v>
                </c:pt>
                <c:pt idx="2">
                  <c:v>0.10502720570093421</c:v>
                </c:pt>
                <c:pt idx="3">
                  <c:v>0.17773834810927328</c:v>
                </c:pt>
                <c:pt idx="4">
                  <c:v>0.21305814805406478</c:v>
                </c:pt>
                <c:pt idx="5">
                  <c:v>0.19229863619238668</c:v>
                </c:pt>
                <c:pt idx="6">
                  <c:v>0.13559519218693933</c:v>
                </c:pt>
                <c:pt idx="7">
                  <c:v>7.6489595592632409E-2</c:v>
                </c:pt>
                <c:pt idx="8">
                  <c:v>3.5057731313289847E-2</c:v>
                </c:pt>
                <c:pt idx="9">
                  <c:v>1.3184104083630372E-2</c:v>
                </c:pt>
                <c:pt idx="10">
                  <c:v>4.0904528054340377E-3</c:v>
                </c:pt>
                <c:pt idx="11">
                  <c:v>1.0488340526753942E-3</c:v>
                </c:pt>
                <c:pt idx="12">
                  <c:v>2.2186874191210262E-4</c:v>
                </c:pt>
                <c:pt idx="13">
                  <c:v>3.8509761909792995E-5</c:v>
                </c:pt>
                <c:pt idx="14">
                  <c:v>5.4308638590733635E-6</c:v>
                </c:pt>
                <c:pt idx="15">
                  <c:v>6.1271284563904611E-7</c:v>
                </c:pt>
                <c:pt idx="16">
                  <c:v>5.400513863805688E-8</c:v>
                </c:pt>
                <c:pt idx="17">
                  <c:v>3.5840514329932107E-9</c:v>
                </c:pt>
                <c:pt idx="18">
                  <c:v>1.6848105026891181E-10</c:v>
                </c:pt>
                <c:pt idx="19">
                  <c:v>5.002136445230863E-12</c:v>
                </c:pt>
                <c:pt idx="20">
                  <c:v>7.054294986864034E-14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E0-4357-9466-D593378DD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445104"/>
        <c:axId val="1245442192"/>
      </c:scatterChart>
      <c:valAx>
        <c:axId val="124544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442192"/>
        <c:crosses val="autoZero"/>
        <c:crossBetween val="midCat"/>
      </c:valAx>
      <c:valAx>
        <c:axId val="124544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44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EFD090D-52F6-4B2A-85AA-595886205F89}">
          <cx:tx>
            <cx:txData>
              <cx:f>_xlchart.v1.0</cx:f>
              <cx:v>Hourly Demand</cx:v>
            </cx:txData>
          </cx:tx>
          <cx:dataId val="0"/>
          <cx:layoutPr>
            <cx:binning intervalClosed="r">
              <cx:binSize val="1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1</xdr:row>
      <xdr:rowOff>171450</xdr:rowOff>
    </xdr:from>
    <xdr:to>
      <xdr:col>9</xdr:col>
      <xdr:colOff>0</xdr:colOff>
      <xdr:row>16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86F5608-81C5-9231-C722-5627B7444B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6840" y="3695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137160</xdr:colOff>
      <xdr:row>1</xdr:row>
      <xdr:rowOff>87630</xdr:rowOff>
    </xdr:from>
    <xdr:to>
      <xdr:col>9</xdr:col>
      <xdr:colOff>441960</xdr:colOff>
      <xdr:row>16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E43537-054F-7EDA-BEC6-D79E6EA3C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297180</xdr:colOff>
      <xdr:row>3</xdr:row>
      <xdr:rowOff>171450</xdr:rowOff>
    </xdr:from>
    <xdr:to>
      <xdr:col>9</xdr:col>
      <xdr:colOff>601980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BFD4EF-BE7A-44E8-D7F3-11BE280D3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0</xdr:rowOff>
    </xdr:from>
    <xdr:to>
      <xdr:col>10</xdr:col>
      <xdr:colOff>304800</xdr:colOff>
      <xdr:row>21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6BDA98-1339-4FD9-9DFD-822453626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182880</xdr:colOff>
      <xdr:row>5</xdr:row>
      <xdr:rowOff>95250</xdr:rowOff>
    </xdr:from>
    <xdr:to>
      <xdr:col>9</xdr:col>
      <xdr:colOff>487680</xdr:colOff>
      <xdr:row>20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55FE90-8011-9DEF-E7EC-95089024B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F60EA0-B814-4410-AF46-F30770DAC532}" name="Table1" displayName="Table1" ref="A4:B25" totalsRowShown="0" headerRowDxfId="1">
  <autoFilter ref="A4:B25" xr:uid="{92F60EA0-B814-4410-AF46-F30770DAC532}"/>
  <tableColumns count="2">
    <tableColumn id="1" xr3:uid="{8C1CDFD7-83F5-4019-A3EC-369B66835F4C}" name="Successes"/>
    <tableColumn id="2" xr3:uid="{AA063D3F-77C3-417A-BADE-D7A3C208E27A}" name="Percentage of Outcomes" dataDxfId="0" dataCellStyle="Percent">
      <calculatedColumnFormula>_xlfn.BINOM.DIST(A5,$B$2,$B$1,FALSE)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9F06-D8D3-4201-9FB5-B9814C11FC40}">
  <dimension ref="A1:D12"/>
  <sheetViews>
    <sheetView workbookViewId="0">
      <selection activeCell="F21" sqref="F21"/>
    </sheetView>
  </sheetViews>
  <sheetFormatPr defaultRowHeight="14.4" x14ac:dyDescent="0.3"/>
  <cols>
    <col min="1" max="1" width="12.5546875" customWidth="1"/>
  </cols>
  <sheetData>
    <row r="1" spans="1:4" x14ac:dyDescent="0.3">
      <c r="A1" t="s">
        <v>0</v>
      </c>
    </row>
    <row r="2" spans="1:4" x14ac:dyDescent="0.3">
      <c r="A2">
        <v>23</v>
      </c>
    </row>
    <row r="3" spans="1:4" x14ac:dyDescent="0.3">
      <c r="A3">
        <v>38</v>
      </c>
    </row>
    <row r="4" spans="1:4" x14ac:dyDescent="0.3">
      <c r="A4">
        <v>29</v>
      </c>
      <c r="C4" t="s">
        <v>1</v>
      </c>
      <c r="D4">
        <f>AVERAGE(A2:A12)</f>
        <v>29.727272727272727</v>
      </c>
    </row>
    <row r="5" spans="1:4" x14ac:dyDescent="0.3">
      <c r="A5">
        <v>28</v>
      </c>
    </row>
    <row r="6" spans="1:4" x14ac:dyDescent="0.3">
      <c r="A6">
        <v>30</v>
      </c>
      <c r="C6" t="s">
        <v>2</v>
      </c>
      <c r="D6">
        <f>MEDIAN(A2:A12)</f>
        <v>29</v>
      </c>
    </row>
    <row r="7" spans="1:4" x14ac:dyDescent="0.3">
      <c r="A7">
        <v>28</v>
      </c>
    </row>
    <row r="8" spans="1:4" x14ac:dyDescent="0.3">
      <c r="A8">
        <v>29</v>
      </c>
      <c r="C8" t="s">
        <v>3</v>
      </c>
      <c r="D8">
        <f t="array" ref="D8:D10">_xlfn.MODE.MULT(A2:A12)</f>
        <v>29</v>
      </c>
    </row>
    <row r="9" spans="1:4" x14ac:dyDescent="0.3">
      <c r="A9">
        <v>27</v>
      </c>
      <c r="D9">
        <v>28</v>
      </c>
    </row>
    <row r="10" spans="1:4" x14ac:dyDescent="0.3">
      <c r="A10">
        <v>27</v>
      </c>
      <c r="D10">
        <v>27</v>
      </c>
    </row>
    <row r="11" spans="1:4" x14ac:dyDescent="0.3">
      <c r="A11">
        <v>31</v>
      </c>
    </row>
    <row r="12" spans="1:4" x14ac:dyDescent="0.3">
      <c r="A12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8F04-8118-4F6B-BD7E-1916EE243140}">
  <dimension ref="A1:G41"/>
  <sheetViews>
    <sheetView workbookViewId="0">
      <selection activeCell="G13" sqref="G13"/>
    </sheetView>
  </sheetViews>
  <sheetFormatPr defaultRowHeight="14.4" x14ac:dyDescent="0.3"/>
  <sheetData>
    <row r="1" spans="1:7" x14ac:dyDescent="0.3">
      <c r="A1" s="4" t="s">
        <v>11</v>
      </c>
    </row>
    <row r="2" spans="1:7" x14ac:dyDescent="0.3">
      <c r="A2" s="5">
        <v>6231</v>
      </c>
    </row>
    <row r="3" spans="1:7" x14ac:dyDescent="0.3">
      <c r="A3" s="5">
        <v>6885</v>
      </c>
      <c r="C3" t="s">
        <v>4</v>
      </c>
      <c r="D3" s="1">
        <f>MIN(A2:A41)</f>
        <v>1684</v>
      </c>
    </row>
    <row r="4" spans="1:7" x14ac:dyDescent="0.3">
      <c r="A4" s="5">
        <v>9637</v>
      </c>
    </row>
    <row r="5" spans="1:7" x14ac:dyDescent="0.3">
      <c r="A5" s="5">
        <v>8060</v>
      </c>
      <c r="C5" t="s">
        <v>5</v>
      </c>
      <c r="D5">
        <f>MAX(A2:A12)</f>
        <v>9637</v>
      </c>
    </row>
    <row r="6" spans="1:7" x14ac:dyDescent="0.3">
      <c r="A6" s="5">
        <v>7265</v>
      </c>
    </row>
    <row r="7" spans="1:7" x14ac:dyDescent="0.3">
      <c r="A7" s="5">
        <v>5629</v>
      </c>
      <c r="C7" t="s">
        <v>6</v>
      </c>
      <c r="F7" t="s">
        <v>10</v>
      </c>
    </row>
    <row r="8" spans="1:7" x14ac:dyDescent="0.3">
      <c r="A8" s="5">
        <v>1861</v>
      </c>
      <c r="C8" t="s">
        <v>7</v>
      </c>
      <c r="D8">
        <f>_xlfn.QUARTILE.INC(A2:A41,1)</f>
        <v>4310.25</v>
      </c>
      <c r="F8" t="s">
        <v>7</v>
      </c>
      <c r="G8">
        <f>_xlfn.QUARTILE.EXC(A2:A41,1)</f>
        <v>4298.75</v>
      </c>
    </row>
    <row r="9" spans="1:7" x14ac:dyDescent="0.3">
      <c r="A9" s="5">
        <v>6062</v>
      </c>
    </row>
    <row r="10" spans="1:7" x14ac:dyDescent="0.3">
      <c r="A10" s="5">
        <v>6221</v>
      </c>
      <c r="C10" t="s">
        <v>8</v>
      </c>
      <c r="D10">
        <f>_xlfn.QUARTILE.INC(A2:A41,2)</f>
        <v>5924</v>
      </c>
      <c r="F10" t="s">
        <v>8</v>
      </c>
      <c r="G10">
        <f>_xlfn.QUARTILE.EXC(A2:A41,2)</f>
        <v>5924</v>
      </c>
    </row>
    <row r="11" spans="1:7" x14ac:dyDescent="0.3">
      <c r="A11" s="5">
        <v>4465</v>
      </c>
    </row>
    <row r="12" spans="1:7" x14ac:dyDescent="0.3">
      <c r="A12" s="5">
        <v>6286</v>
      </c>
      <c r="C12" t="s">
        <v>9</v>
      </c>
      <c r="D12">
        <f>_xlfn.QUARTILE.INC(A2:A41,3)</f>
        <v>7370.25</v>
      </c>
      <c r="F12" t="s">
        <v>9</v>
      </c>
      <c r="G12">
        <f>_xlfn.QUARTILE.EXC(A2:A41,3)</f>
        <v>7450.75</v>
      </c>
    </row>
    <row r="13" spans="1:7" x14ac:dyDescent="0.3">
      <c r="A13" s="5">
        <v>4364</v>
      </c>
    </row>
    <row r="14" spans="1:7" x14ac:dyDescent="0.3">
      <c r="A14" s="5">
        <v>4521</v>
      </c>
    </row>
    <row r="15" spans="1:7" x14ac:dyDescent="0.3">
      <c r="A15" s="5">
        <v>4479</v>
      </c>
    </row>
    <row r="16" spans="1:7" x14ac:dyDescent="0.3">
      <c r="A16" s="5">
        <v>6955</v>
      </c>
    </row>
    <row r="17" spans="1:1" x14ac:dyDescent="0.3">
      <c r="A17" s="5">
        <v>6898</v>
      </c>
    </row>
    <row r="18" spans="1:1" x14ac:dyDescent="0.3">
      <c r="A18" s="5">
        <v>7641</v>
      </c>
    </row>
    <row r="19" spans="1:1" x14ac:dyDescent="0.3">
      <c r="A19" s="5">
        <v>3741</v>
      </c>
    </row>
    <row r="20" spans="1:1" x14ac:dyDescent="0.3">
      <c r="A20" s="5">
        <v>4109</v>
      </c>
    </row>
    <row r="21" spans="1:1" x14ac:dyDescent="0.3">
      <c r="A21" s="5">
        <v>7666</v>
      </c>
    </row>
    <row r="22" spans="1:1" x14ac:dyDescent="0.3">
      <c r="A22" s="5">
        <v>7751</v>
      </c>
    </row>
    <row r="23" spans="1:1" x14ac:dyDescent="0.3">
      <c r="A23" s="5">
        <v>3547</v>
      </c>
    </row>
    <row r="24" spans="1:1" x14ac:dyDescent="0.3">
      <c r="A24" s="5">
        <v>2780</v>
      </c>
    </row>
    <row r="25" spans="1:1" x14ac:dyDescent="0.3">
      <c r="A25" s="5">
        <v>1684</v>
      </c>
    </row>
    <row r="26" spans="1:1" x14ac:dyDescent="0.3">
      <c r="A26" s="5">
        <v>1738</v>
      </c>
    </row>
    <row r="27" spans="1:1" x14ac:dyDescent="0.3">
      <c r="A27" s="5">
        <v>4316</v>
      </c>
    </row>
    <row r="28" spans="1:1" x14ac:dyDescent="0.3">
      <c r="A28" s="5">
        <v>8852</v>
      </c>
    </row>
    <row r="29" spans="1:1" x14ac:dyDescent="0.3">
      <c r="A29" s="5">
        <v>8283</v>
      </c>
    </row>
    <row r="30" spans="1:1" x14ac:dyDescent="0.3">
      <c r="A30" s="5">
        <v>7330</v>
      </c>
    </row>
    <row r="31" spans="1:1" x14ac:dyDescent="0.3">
      <c r="A31" s="5">
        <v>9932</v>
      </c>
    </row>
    <row r="32" spans="1:1" x14ac:dyDescent="0.3">
      <c r="A32" s="5">
        <v>4754</v>
      </c>
    </row>
    <row r="33" spans="1:1" x14ac:dyDescent="0.3">
      <c r="A33" s="5">
        <v>4293</v>
      </c>
    </row>
    <row r="34" spans="1:1" x14ac:dyDescent="0.3">
      <c r="A34" s="5">
        <v>6424</v>
      </c>
    </row>
    <row r="35" spans="1:1" x14ac:dyDescent="0.3">
      <c r="A35" s="5">
        <v>2392</v>
      </c>
    </row>
    <row r="36" spans="1:1" x14ac:dyDescent="0.3">
      <c r="A36" s="5">
        <v>5099</v>
      </c>
    </row>
    <row r="37" spans="1:1" x14ac:dyDescent="0.3">
      <c r="A37" s="5">
        <v>2511</v>
      </c>
    </row>
    <row r="38" spans="1:1" x14ac:dyDescent="0.3">
      <c r="A38" s="5">
        <v>5786</v>
      </c>
    </row>
    <row r="39" spans="1:1" x14ac:dyDescent="0.3">
      <c r="A39" s="5">
        <v>7491</v>
      </c>
    </row>
    <row r="40" spans="1:1" x14ac:dyDescent="0.3">
      <c r="A40" s="5">
        <v>8219</v>
      </c>
    </row>
    <row r="41" spans="1:1" x14ac:dyDescent="0.3">
      <c r="A41" s="5">
        <v>5681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BF989-26F5-4DE3-B58A-11604B1ADF32}">
  <dimension ref="A1:I13"/>
  <sheetViews>
    <sheetView topLeftCell="D1" workbookViewId="0">
      <selection activeCell="I10" sqref="I10"/>
    </sheetView>
  </sheetViews>
  <sheetFormatPr defaultRowHeight="14.4" x14ac:dyDescent="0.3"/>
  <cols>
    <col min="1" max="1" width="13.33203125" customWidth="1"/>
    <col min="2" max="2" width="10.44140625" customWidth="1"/>
    <col min="3" max="3" width="16.6640625" customWidth="1"/>
    <col min="4" max="4" width="5.6640625" customWidth="1"/>
    <col min="5" max="5" width="24" customWidth="1"/>
    <col min="6" max="6" width="12.33203125" bestFit="1" customWidth="1"/>
    <col min="7" max="7" width="3.6640625" customWidth="1"/>
    <col min="9" max="9" width="12.33203125" bestFit="1" customWidth="1"/>
  </cols>
  <sheetData>
    <row r="1" spans="1:9" x14ac:dyDescent="0.3">
      <c r="A1" s="6"/>
      <c r="B1" s="7" t="s">
        <v>1</v>
      </c>
      <c r="C1" s="10">
        <v>5482.6</v>
      </c>
      <c r="D1" s="6"/>
      <c r="E1" s="6"/>
      <c r="F1" s="6"/>
      <c r="G1" s="6"/>
      <c r="H1" s="6"/>
      <c r="I1" s="6"/>
    </row>
    <row r="3" spans="1:9" ht="15.6" x14ac:dyDescent="0.3">
      <c r="A3" s="8" t="s">
        <v>12</v>
      </c>
      <c r="B3" s="9" t="s">
        <v>13</v>
      </c>
      <c r="C3" s="9" t="s">
        <v>14</v>
      </c>
      <c r="D3" s="6"/>
      <c r="E3" s="7" t="s">
        <v>15</v>
      </c>
      <c r="F3" s="13">
        <f>AVERAGE(C4:C13)</f>
        <v>6395943.4399999995</v>
      </c>
      <c r="G3" s="6"/>
      <c r="H3" s="7" t="s">
        <v>16</v>
      </c>
      <c r="I3" s="10">
        <f>_xlfn.VAR.P(A4:A13)</f>
        <v>6395943.4400000004</v>
      </c>
    </row>
    <row r="4" spans="1:9" x14ac:dyDescent="0.3">
      <c r="A4" s="11">
        <v>2393</v>
      </c>
      <c r="B4" s="12">
        <f>A4 -$C$1</f>
        <v>-3089.6000000000004</v>
      </c>
      <c r="C4" s="12">
        <f>B4^2</f>
        <v>9545628.160000002</v>
      </c>
      <c r="D4" s="6"/>
      <c r="E4" s="6"/>
      <c r="F4" s="6"/>
      <c r="G4" s="6"/>
      <c r="H4" s="6"/>
      <c r="I4" s="6"/>
    </row>
    <row r="5" spans="1:9" x14ac:dyDescent="0.3">
      <c r="A5" s="11">
        <v>5403</v>
      </c>
      <c r="B5" s="12">
        <f t="shared" ref="B5:B13" si="0">A5 -$C$1</f>
        <v>-79.600000000000364</v>
      </c>
      <c r="C5" s="12">
        <f t="shared" ref="C5:C13" si="1">B5^2</f>
        <v>6336.1600000000581</v>
      </c>
      <c r="D5" s="6"/>
      <c r="E5" s="7" t="s">
        <v>17</v>
      </c>
      <c r="F5" s="10">
        <f>SQRT(F3)</f>
        <v>2529.0202529833564</v>
      </c>
      <c r="G5" s="6"/>
      <c r="H5" s="7" t="s">
        <v>18</v>
      </c>
      <c r="I5" s="10">
        <f>_xlfn.STDEV.P(A4:A13)</f>
        <v>2529.0202529833564</v>
      </c>
    </row>
    <row r="6" spans="1:9" x14ac:dyDescent="0.3">
      <c r="A6" s="11">
        <v>2140</v>
      </c>
      <c r="B6" s="12">
        <f t="shared" si="0"/>
        <v>-3342.6000000000004</v>
      </c>
      <c r="C6" s="12">
        <f t="shared" si="1"/>
        <v>11172974.760000002</v>
      </c>
      <c r="D6" s="6"/>
      <c r="E6" s="6"/>
      <c r="F6" s="6"/>
      <c r="G6" s="6"/>
      <c r="H6" s="6"/>
      <c r="I6" s="6"/>
    </row>
    <row r="7" spans="1:9" x14ac:dyDescent="0.3">
      <c r="A7" s="11">
        <v>9195</v>
      </c>
      <c r="B7" s="12">
        <f t="shared" si="0"/>
        <v>3712.3999999999996</v>
      </c>
      <c r="C7" s="12">
        <f t="shared" si="1"/>
        <v>13781913.759999998</v>
      </c>
      <c r="D7" s="6"/>
      <c r="E7" s="7" t="s">
        <v>19</v>
      </c>
      <c r="F7" s="13">
        <f>SUM(C4:C13)/(COUNT(C4:C13)-1)</f>
        <v>7106603.8222222216</v>
      </c>
      <c r="G7" s="6"/>
      <c r="H7" s="7" t="s">
        <v>20</v>
      </c>
      <c r="I7" s="10">
        <f>_xlfn.VAR.S(A4:A13)</f>
        <v>7106603.8222222198</v>
      </c>
    </row>
    <row r="8" spans="1:9" x14ac:dyDescent="0.3">
      <c r="A8" s="11">
        <v>4132</v>
      </c>
      <c r="B8" s="12">
        <f t="shared" si="0"/>
        <v>-1350.6000000000004</v>
      </c>
      <c r="C8" s="12">
        <f t="shared" si="1"/>
        <v>1824120.360000001</v>
      </c>
      <c r="D8" s="6"/>
      <c r="E8" s="6"/>
      <c r="F8" s="6"/>
      <c r="G8" s="6"/>
      <c r="H8" s="6"/>
      <c r="I8" s="6"/>
    </row>
    <row r="9" spans="1:9" x14ac:dyDescent="0.3">
      <c r="A9" s="11">
        <v>9429</v>
      </c>
      <c r="B9" s="12">
        <f t="shared" si="0"/>
        <v>3946.3999999999996</v>
      </c>
      <c r="C9" s="12">
        <f t="shared" si="1"/>
        <v>15574072.959999997</v>
      </c>
      <c r="D9" s="6"/>
      <c r="E9" s="7" t="s">
        <v>21</v>
      </c>
      <c r="F9" s="10">
        <f>SQRT(F7)</f>
        <v>2665.8214160408834</v>
      </c>
      <c r="G9" s="6"/>
      <c r="H9" s="7" t="s">
        <v>22</v>
      </c>
      <c r="I9" s="10">
        <f>_xlfn.STDEV.S(A4:A13)</f>
        <v>2665.8214160408834</v>
      </c>
    </row>
    <row r="10" spans="1:9" x14ac:dyDescent="0.3">
      <c r="A10" s="11">
        <v>8054</v>
      </c>
      <c r="B10" s="12">
        <f t="shared" si="0"/>
        <v>2571.3999999999996</v>
      </c>
      <c r="C10" s="12">
        <f t="shared" si="1"/>
        <v>6612097.9599999981</v>
      </c>
      <c r="D10" s="6"/>
      <c r="E10" s="6"/>
      <c r="F10" s="6"/>
      <c r="G10" s="6"/>
      <c r="H10" s="6"/>
      <c r="I10" s="6"/>
    </row>
    <row r="11" spans="1:9" x14ac:dyDescent="0.3">
      <c r="A11" s="11">
        <v>3150</v>
      </c>
      <c r="B11" s="12">
        <f t="shared" si="0"/>
        <v>-2332.6000000000004</v>
      </c>
      <c r="C11" s="12">
        <f t="shared" si="1"/>
        <v>5441022.7600000016</v>
      </c>
      <c r="D11" s="6"/>
      <c r="E11" s="6"/>
      <c r="F11" s="6"/>
      <c r="G11" s="6"/>
      <c r="H11" s="6"/>
      <c r="I11" s="6"/>
    </row>
    <row r="12" spans="1:9" x14ac:dyDescent="0.3">
      <c r="A12" s="11">
        <v>5447</v>
      </c>
      <c r="B12" s="12">
        <f t="shared" si="0"/>
        <v>-35.600000000000364</v>
      </c>
      <c r="C12" s="12">
        <f t="shared" si="1"/>
        <v>1267.3600000000258</v>
      </c>
      <c r="D12" s="6"/>
      <c r="E12" s="6"/>
      <c r="F12" s="6"/>
      <c r="G12" s="6"/>
      <c r="H12" s="6"/>
      <c r="I12" s="6"/>
    </row>
    <row r="13" spans="1:9" x14ac:dyDescent="0.3">
      <c r="A13" s="11">
        <v>5483</v>
      </c>
      <c r="B13" s="12">
        <f t="shared" si="0"/>
        <v>0.3999999999996362</v>
      </c>
      <c r="C13" s="12">
        <f t="shared" si="1"/>
        <v>0.15999999999970896</v>
      </c>
      <c r="D13" s="6"/>
      <c r="E13" s="6"/>
      <c r="F13" s="6"/>
      <c r="G13" s="6"/>
      <c r="H13" s="6"/>
      <c r="I13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E1A4-EE17-4762-99C4-D80388541475}">
  <dimension ref="A1:D51"/>
  <sheetViews>
    <sheetView workbookViewId="0">
      <selection activeCell="H21" sqref="H21"/>
    </sheetView>
  </sheetViews>
  <sheetFormatPr defaultRowHeight="14.4" x14ac:dyDescent="0.3"/>
  <cols>
    <col min="1" max="1" width="15.77734375" bestFit="1" customWidth="1"/>
  </cols>
  <sheetData>
    <row r="1" spans="1:4" ht="15.6" x14ac:dyDescent="0.3">
      <c r="A1" s="14" t="s">
        <v>23</v>
      </c>
      <c r="D1" t="s">
        <v>24</v>
      </c>
    </row>
    <row r="2" spans="1:4" x14ac:dyDescent="0.3">
      <c r="A2" s="3">
        <v>94</v>
      </c>
    </row>
    <row r="3" spans="1:4" x14ac:dyDescent="0.3">
      <c r="A3" s="3">
        <v>53</v>
      </c>
    </row>
    <row r="4" spans="1:4" x14ac:dyDescent="0.3">
      <c r="A4" s="3">
        <v>135</v>
      </c>
    </row>
    <row r="5" spans="1:4" x14ac:dyDescent="0.3">
      <c r="A5" s="3">
        <v>72</v>
      </c>
    </row>
    <row r="6" spans="1:4" x14ac:dyDescent="0.3">
      <c r="A6" s="3">
        <v>78</v>
      </c>
    </row>
    <row r="7" spans="1:4" x14ac:dyDescent="0.3">
      <c r="A7" s="3">
        <v>100</v>
      </c>
    </row>
    <row r="8" spans="1:4" x14ac:dyDescent="0.3">
      <c r="A8" s="3">
        <v>115</v>
      </c>
    </row>
    <row r="9" spans="1:4" x14ac:dyDescent="0.3">
      <c r="A9" s="3">
        <v>86</v>
      </c>
    </row>
    <row r="10" spans="1:4" x14ac:dyDescent="0.3">
      <c r="A10" s="3">
        <v>97</v>
      </c>
    </row>
    <row r="11" spans="1:4" x14ac:dyDescent="0.3">
      <c r="A11" s="3">
        <v>92</v>
      </c>
    </row>
    <row r="12" spans="1:4" x14ac:dyDescent="0.3">
      <c r="A12" s="3">
        <v>136</v>
      </c>
    </row>
    <row r="13" spans="1:4" x14ac:dyDescent="0.3">
      <c r="A13" s="3">
        <v>94</v>
      </c>
    </row>
    <row r="14" spans="1:4" x14ac:dyDescent="0.3">
      <c r="A14" s="3">
        <v>154</v>
      </c>
    </row>
    <row r="15" spans="1:4" x14ac:dyDescent="0.3">
      <c r="A15" s="3">
        <v>102</v>
      </c>
    </row>
    <row r="16" spans="1:4" x14ac:dyDescent="0.3">
      <c r="A16" s="3">
        <v>87</v>
      </c>
    </row>
    <row r="17" spans="1:1" x14ac:dyDescent="0.3">
      <c r="A17" s="3">
        <v>98</v>
      </c>
    </row>
    <row r="18" spans="1:1" x14ac:dyDescent="0.3">
      <c r="A18" s="3">
        <v>73</v>
      </c>
    </row>
    <row r="19" spans="1:1" x14ac:dyDescent="0.3">
      <c r="A19" s="3">
        <v>122</v>
      </c>
    </row>
    <row r="20" spans="1:1" x14ac:dyDescent="0.3">
      <c r="A20" s="3">
        <v>72</v>
      </c>
    </row>
    <row r="21" spans="1:1" x14ac:dyDescent="0.3">
      <c r="A21" s="3">
        <v>82</v>
      </c>
    </row>
    <row r="22" spans="1:1" x14ac:dyDescent="0.3">
      <c r="A22" s="3">
        <v>81</v>
      </c>
    </row>
    <row r="23" spans="1:1" x14ac:dyDescent="0.3">
      <c r="A23" s="3">
        <v>78</v>
      </c>
    </row>
    <row r="24" spans="1:1" x14ac:dyDescent="0.3">
      <c r="A24" s="3">
        <v>100</v>
      </c>
    </row>
    <row r="25" spans="1:1" x14ac:dyDescent="0.3">
      <c r="A25" s="3">
        <v>144</v>
      </c>
    </row>
    <row r="26" spans="1:1" x14ac:dyDescent="0.3">
      <c r="A26" s="3">
        <v>89</v>
      </c>
    </row>
    <row r="27" spans="1:1" x14ac:dyDescent="0.3">
      <c r="A27" s="3">
        <v>121</v>
      </c>
    </row>
    <row r="28" spans="1:1" x14ac:dyDescent="0.3">
      <c r="A28" s="3">
        <v>118</v>
      </c>
    </row>
    <row r="29" spans="1:1" x14ac:dyDescent="0.3">
      <c r="A29" s="3">
        <v>40</v>
      </c>
    </row>
    <row r="30" spans="1:1" x14ac:dyDescent="0.3">
      <c r="A30" s="3">
        <v>88</v>
      </c>
    </row>
    <row r="31" spans="1:1" x14ac:dyDescent="0.3">
      <c r="A31" s="3">
        <v>85</v>
      </c>
    </row>
    <row r="32" spans="1:1" x14ac:dyDescent="0.3">
      <c r="A32" s="3">
        <v>135</v>
      </c>
    </row>
    <row r="33" spans="1:1" x14ac:dyDescent="0.3">
      <c r="A33" s="3">
        <v>101</v>
      </c>
    </row>
    <row r="34" spans="1:1" x14ac:dyDescent="0.3">
      <c r="A34" s="3">
        <v>137</v>
      </c>
    </row>
    <row r="35" spans="1:1" x14ac:dyDescent="0.3">
      <c r="A35" s="3">
        <v>140</v>
      </c>
    </row>
    <row r="36" spans="1:1" x14ac:dyDescent="0.3">
      <c r="A36" s="3">
        <v>109</v>
      </c>
    </row>
    <row r="37" spans="1:1" x14ac:dyDescent="0.3">
      <c r="A37" s="3">
        <v>79</v>
      </c>
    </row>
    <row r="38" spans="1:1" x14ac:dyDescent="0.3">
      <c r="A38" s="3">
        <v>149</v>
      </c>
    </row>
    <row r="39" spans="1:1" x14ac:dyDescent="0.3">
      <c r="A39" s="3">
        <v>114</v>
      </c>
    </row>
    <row r="40" spans="1:1" x14ac:dyDescent="0.3">
      <c r="A40" s="3">
        <v>87</v>
      </c>
    </row>
    <row r="41" spans="1:1" x14ac:dyDescent="0.3">
      <c r="A41" s="3">
        <v>104</v>
      </c>
    </row>
    <row r="42" spans="1:1" x14ac:dyDescent="0.3">
      <c r="A42" s="3">
        <v>135</v>
      </c>
    </row>
    <row r="43" spans="1:1" x14ac:dyDescent="0.3">
      <c r="A43" s="3">
        <v>95</v>
      </c>
    </row>
    <row r="44" spans="1:1" x14ac:dyDescent="0.3">
      <c r="A44" s="3">
        <v>124</v>
      </c>
    </row>
    <row r="45" spans="1:1" x14ac:dyDescent="0.3">
      <c r="A45" s="3">
        <v>129</v>
      </c>
    </row>
    <row r="46" spans="1:1" x14ac:dyDescent="0.3">
      <c r="A46" s="3">
        <v>87</v>
      </c>
    </row>
    <row r="47" spans="1:1" x14ac:dyDescent="0.3">
      <c r="A47" s="3">
        <v>107</v>
      </c>
    </row>
    <row r="48" spans="1:1" x14ac:dyDescent="0.3">
      <c r="A48" s="3">
        <v>98</v>
      </c>
    </row>
    <row r="49" spans="1:1" x14ac:dyDescent="0.3">
      <c r="A49" s="3">
        <v>95</v>
      </c>
    </row>
    <row r="50" spans="1:1" x14ac:dyDescent="0.3">
      <c r="A50" s="3">
        <v>132</v>
      </c>
    </row>
    <row r="51" spans="1:1" x14ac:dyDescent="0.3">
      <c r="A51" s="3">
        <v>74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F603-468A-49AB-BF70-31983C2DACCF}">
  <dimension ref="A1:B27"/>
  <sheetViews>
    <sheetView topLeftCell="A2" workbookViewId="0">
      <selection sqref="A1:B27"/>
    </sheetView>
  </sheetViews>
  <sheetFormatPr defaultRowHeight="14.4" x14ac:dyDescent="0.3"/>
  <cols>
    <col min="2" max="2" width="12.21875" customWidth="1"/>
  </cols>
  <sheetData>
    <row r="1" spans="1:2" x14ac:dyDescent="0.3">
      <c r="A1" t="s">
        <v>25</v>
      </c>
      <c r="B1" t="s">
        <v>26</v>
      </c>
    </row>
    <row r="2" spans="1:2" x14ac:dyDescent="0.3">
      <c r="A2">
        <v>1</v>
      </c>
      <c r="B2">
        <v>35</v>
      </c>
    </row>
    <row r="3" spans="1:2" x14ac:dyDescent="0.3">
      <c r="A3">
        <v>1</v>
      </c>
      <c r="B3">
        <v>13</v>
      </c>
    </row>
    <row r="4" spans="1:2" x14ac:dyDescent="0.3">
      <c r="A4">
        <v>2</v>
      </c>
      <c r="B4">
        <v>40</v>
      </c>
    </row>
    <row r="5" spans="1:2" x14ac:dyDescent="0.3">
      <c r="A5">
        <v>4</v>
      </c>
      <c r="B5">
        <v>20</v>
      </c>
    </row>
    <row r="6" spans="1:2" x14ac:dyDescent="0.3">
      <c r="A6">
        <v>4</v>
      </c>
      <c r="B6">
        <v>15</v>
      </c>
    </row>
    <row r="7" spans="1:2" x14ac:dyDescent="0.3">
      <c r="A7">
        <v>5</v>
      </c>
      <c r="B7">
        <v>35</v>
      </c>
    </row>
    <row r="8" spans="1:2" x14ac:dyDescent="0.3">
      <c r="A8">
        <v>10</v>
      </c>
      <c r="B8">
        <v>35</v>
      </c>
    </row>
    <row r="9" spans="1:2" x14ac:dyDescent="0.3">
      <c r="A9">
        <v>20</v>
      </c>
      <c r="B9">
        <v>50</v>
      </c>
    </row>
    <row r="10" spans="1:2" x14ac:dyDescent="0.3">
      <c r="A10">
        <v>20</v>
      </c>
      <c r="B10">
        <v>25</v>
      </c>
    </row>
    <row r="11" spans="1:2" x14ac:dyDescent="0.3">
      <c r="A11">
        <v>22</v>
      </c>
      <c r="B11">
        <v>40</v>
      </c>
    </row>
    <row r="12" spans="1:2" x14ac:dyDescent="0.3">
      <c r="A12">
        <v>45</v>
      </c>
      <c r="B12">
        <v>35</v>
      </c>
    </row>
    <row r="13" spans="1:2" x14ac:dyDescent="0.3">
      <c r="A13">
        <v>50</v>
      </c>
      <c r="B13">
        <v>75</v>
      </c>
    </row>
    <row r="14" spans="1:2" x14ac:dyDescent="0.3">
      <c r="A14">
        <v>50</v>
      </c>
      <c r="B14">
        <v>125</v>
      </c>
    </row>
    <row r="15" spans="1:2" x14ac:dyDescent="0.3">
      <c r="A15">
        <v>50</v>
      </c>
      <c r="B15">
        <v>67</v>
      </c>
    </row>
    <row r="16" spans="1:2" x14ac:dyDescent="0.3">
      <c r="A16">
        <v>75</v>
      </c>
      <c r="B16">
        <v>99</v>
      </c>
    </row>
    <row r="17" spans="1:2" x14ac:dyDescent="0.3">
      <c r="A17">
        <v>75</v>
      </c>
      <c r="B17">
        <v>149</v>
      </c>
    </row>
    <row r="18" spans="1:2" x14ac:dyDescent="0.3">
      <c r="A18">
        <v>75</v>
      </c>
      <c r="B18">
        <v>110</v>
      </c>
    </row>
    <row r="19" spans="1:2" x14ac:dyDescent="0.3">
      <c r="A19">
        <v>75</v>
      </c>
      <c r="B19">
        <v>120</v>
      </c>
    </row>
    <row r="20" spans="1:2" x14ac:dyDescent="0.3">
      <c r="A20">
        <v>85</v>
      </c>
      <c r="B20">
        <v>130</v>
      </c>
    </row>
    <row r="21" spans="1:2" x14ac:dyDescent="0.3">
      <c r="A21">
        <v>87</v>
      </c>
      <c r="B21">
        <v>75</v>
      </c>
    </row>
    <row r="22" spans="1:2" x14ac:dyDescent="0.3">
      <c r="A22">
        <v>99</v>
      </c>
      <c r="B22">
        <v>101</v>
      </c>
    </row>
    <row r="23" spans="1:2" x14ac:dyDescent="0.3">
      <c r="A23">
        <v>100</v>
      </c>
      <c r="B23">
        <v>200</v>
      </c>
    </row>
    <row r="24" spans="1:2" x14ac:dyDescent="0.3">
      <c r="A24">
        <v>125</v>
      </c>
      <c r="B24">
        <v>125</v>
      </c>
    </row>
    <row r="25" spans="1:2" x14ac:dyDescent="0.3">
      <c r="A25">
        <v>130</v>
      </c>
      <c r="B25">
        <v>220</v>
      </c>
    </row>
    <row r="26" spans="1:2" x14ac:dyDescent="0.3">
      <c r="A26">
        <v>145</v>
      </c>
      <c r="B26">
        <v>150</v>
      </c>
    </row>
    <row r="27" spans="1:2" x14ac:dyDescent="0.3">
      <c r="A27">
        <v>152</v>
      </c>
      <c r="B27">
        <v>195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56786-4F8D-4DA9-84F6-F207B5CBA63B}">
  <dimension ref="A1:H27"/>
  <sheetViews>
    <sheetView topLeftCell="A2" workbookViewId="0">
      <selection activeCell="G6" sqref="G6"/>
    </sheetView>
  </sheetViews>
  <sheetFormatPr defaultRowHeight="14.4" x14ac:dyDescent="0.3"/>
  <cols>
    <col min="5" max="5" width="13" customWidth="1"/>
    <col min="7" max="7" width="9.77734375" customWidth="1"/>
  </cols>
  <sheetData>
    <row r="1" spans="1:8" x14ac:dyDescent="0.3">
      <c r="A1" t="s">
        <v>27</v>
      </c>
      <c r="B1" t="s">
        <v>28</v>
      </c>
      <c r="D1" s="3" t="s">
        <v>25</v>
      </c>
      <c r="E1" s="3" t="s">
        <v>26</v>
      </c>
    </row>
    <row r="2" spans="1:8" x14ac:dyDescent="0.3">
      <c r="A2" t="s">
        <v>29</v>
      </c>
      <c r="B2" t="s">
        <v>30</v>
      </c>
      <c r="D2" s="3">
        <v>1</v>
      </c>
      <c r="E2" s="3">
        <v>35</v>
      </c>
      <c r="G2" t="s">
        <v>49</v>
      </c>
      <c r="H2" t="s">
        <v>51</v>
      </c>
    </row>
    <row r="3" spans="1:8" x14ac:dyDescent="0.3">
      <c r="A3" t="s">
        <v>31</v>
      </c>
      <c r="B3" t="s">
        <v>32</v>
      </c>
      <c r="D3" s="3">
        <v>1</v>
      </c>
      <c r="E3" s="3">
        <v>13</v>
      </c>
    </row>
    <row r="4" spans="1:8" x14ac:dyDescent="0.3">
      <c r="A4" t="s">
        <v>33</v>
      </c>
      <c r="B4" t="s">
        <v>34</v>
      </c>
      <c r="D4" s="3">
        <v>2</v>
      </c>
      <c r="E4" s="3">
        <v>40</v>
      </c>
      <c r="G4" t="s">
        <v>50</v>
      </c>
      <c r="H4" t="s">
        <v>52</v>
      </c>
    </row>
    <row r="5" spans="1:8" x14ac:dyDescent="0.3">
      <c r="A5" t="s">
        <v>35</v>
      </c>
      <c r="B5" t="s">
        <v>36</v>
      </c>
      <c r="D5" s="3">
        <v>4</v>
      </c>
      <c r="E5" s="3">
        <v>20</v>
      </c>
      <c r="G5">
        <v>110</v>
      </c>
      <c r="H5">
        <f>_xlfn.FORECAST.LINEAR(G5,E2:E27,D2:D27)</f>
        <v>146.57832321175144</v>
      </c>
    </row>
    <row r="6" spans="1:8" x14ac:dyDescent="0.3">
      <c r="A6" t="s">
        <v>37</v>
      </c>
      <c r="B6" t="s">
        <v>38</v>
      </c>
      <c r="D6" s="3">
        <v>4</v>
      </c>
      <c r="E6" s="3">
        <v>15</v>
      </c>
    </row>
    <row r="7" spans="1:8" x14ac:dyDescent="0.3">
      <c r="A7" t="s">
        <v>39</v>
      </c>
      <c r="B7" t="s">
        <v>40</v>
      </c>
      <c r="D7" s="3">
        <v>5</v>
      </c>
      <c r="E7" s="3">
        <v>35</v>
      </c>
    </row>
    <row r="8" spans="1:8" x14ac:dyDescent="0.3">
      <c r="A8" t="s">
        <v>41</v>
      </c>
      <c r="B8" t="s">
        <v>42</v>
      </c>
      <c r="D8" s="3">
        <v>10</v>
      </c>
      <c r="E8" s="3">
        <v>35</v>
      </c>
    </row>
    <row r="9" spans="1:8" x14ac:dyDescent="0.3">
      <c r="A9" t="s">
        <v>43</v>
      </c>
      <c r="B9" t="s">
        <v>44</v>
      </c>
      <c r="D9" s="3">
        <v>20</v>
      </c>
      <c r="E9" s="3">
        <v>50</v>
      </c>
    </row>
    <row r="10" spans="1:8" x14ac:dyDescent="0.3">
      <c r="A10" t="s">
        <v>45</v>
      </c>
      <c r="D10" s="3">
        <v>20</v>
      </c>
      <c r="E10" s="3">
        <v>25</v>
      </c>
    </row>
    <row r="11" spans="1:8" x14ac:dyDescent="0.3">
      <c r="A11" t="s">
        <v>46</v>
      </c>
      <c r="D11" s="3">
        <v>22</v>
      </c>
      <c r="E11" s="3">
        <v>40</v>
      </c>
    </row>
    <row r="12" spans="1:8" x14ac:dyDescent="0.3">
      <c r="A12" t="s">
        <v>47</v>
      </c>
      <c r="D12" s="3">
        <v>45</v>
      </c>
      <c r="E12" s="3">
        <v>35</v>
      </c>
    </row>
    <row r="13" spans="1:8" x14ac:dyDescent="0.3">
      <c r="A13" t="s">
        <v>48</v>
      </c>
      <c r="D13" s="3">
        <v>50</v>
      </c>
      <c r="E13" s="3">
        <v>75</v>
      </c>
    </row>
    <row r="14" spans="1:8" x14ac:dyDescent="0.3">
      <c r="D14" s="3">
        <v>50</v>
      </c>
      <c r="E14" s="3">
        <v>125</v>
      </c>
    </row>
    <row r="15" spans="1:8" x14ac:dyDescent="0.3">
      <c r="D15" s="3">
        <v>50</v>
      </c>
      <c r="E15" s="3">
        <v>67</v>
      </c>
    </row>
    <row r="16" spans="1:8" x14ac:dyDescent="0.3">
      <c r="D16" s="3">
        <v>75</v>
      </c>
      <c r="E16" s="3">
        <v>99</v>
      </c>
    </row>
    <row r="17" spans="4:5" x14ac:dyDescent="0.3">
      <c r="D17" s="3">
        <v>75</v>
      </c>
      <c r="E17" s="3">
        <v>149</v>
      </c>
    </row>
    <row r="18" spans="4:5" x14ac:dyDescent="0.3">
      <c r="D18" s="3">
        <v>75</v>
      </c>
      <c r="E18" s="3">
        <v>110</v>
      </c>
    </row>
    <row r="19" spans="4:5" x14ac:dyDescent="0.3">
      <c r="D19" s="3">
        <v>75</v>
      </c>
      <c r="E19" s="3">
        <v>120</v>
      </c>
    </row>
    <row r="20" spans="4:5" x14ac:dyDescent="0.3">
      <c r="D20" s="3">
        <v>85</v>
      </c>
      <c r="E20" s="3">
        <v>130</v>
      </c>
    </row>
    <row r="21" spans="4:5" x14ac:dyDescent="0.3">
      <c r="D21" s="3">
        <v>87</v>
      </c>
      <c r="E21" s="3">
        <v>75</v>
      </c>
    </row>
    <row r="22" spans="4:5" x14ac:dyDescent="0.3">
      <c r="D22" s="3">
        <v>99</v>
      </c>
      <c r="E22" s="3">
        <v>101</v>
      </c>
    </row>
    <row r="23" spans="4:5" x14ac:dyDescent="0.3">
      <c r="D23" s="3">
        <v>100</v>
      </c>
      <c r="E23" s="3">
        <v>200</v>
      </c>
    </row>
    <row r="24" spans="4:5" x14ac:dyDescent="0.3">
      <c r="D24" s="3">
        <v>125</v>
      </c>
      <c r="E24" s="3">
        <v>125</v>
      </c>
    </row>
    <row r="25" spans="4:5" x14ac:dyDescent="0.3">
      <c r="D25" s="3">
        <v>130</v>
      </c>
      <c r="E25" s="3">
        <v>220</v>
      </c>
    </row>
    <row r="26" spans="4:5" x14ac:dyDescent="0.3">
      <c r="D26" s="3">
        <v>145</v>
      </c>
      <c r="E26" s="3">
        <v>150</v>
      </c>
    </row>
    <row r="27" spans="4:5" x14ac:dyDescent="0.3">
      <c r="D27" s="3">
        <v>152</v>
      </c>
      <c r="E27" s="3">
        <v>195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981E-6C10-48CA-9A30-ECF800A410F3}">
  <dimension ref="A1:D13"/>
  <sheetViews>
    <sheetView workbookViewId="0">
      <selection activeCell="G15" sqref="G15"/>
    </sheetView>
  </sheetViews>
  <sheetFormatPr defaultRowHeight="14.4" x14ac:dyDescent="0.3"/>
  <cols>
    <col min="3" max="3" width="15.77734375" customWidth="1"/>
  </cols>
  <sheetData>
    <row r="1" spans="1:4" x14ac:dyDescent="0.3">
      <c r="A1" t="s">
        <v>53</v>
      </c>
      <c r="B1" t="s">
        <v>54</v>
      </c>
      <c r="C1" t="s">
        <v>55</v>
      </c>
      <c r="D1" t="s">
        <v>56</v>
      </c>
    </row>
    <row r="2" spans="1:4" x14ac:dyDescent="0.3">
      <c r="A2" t="s">
        <v>57</v>
      </c>
      <c r="B2" s="2">
        <v>4969</v>
      </c>
      <c r="C2" s="2">
        <f>AVERAGE($B$2:B2)</f>
        <v>4969</v>
      </c>
    </row>
    <row r="3" spans="1:4" x14ac:dyDescent="0.3">
      <c r="A3" t="s">
        <v>58</v>
      </c>
      <c r="B3" s="2">
        <v>5705</v>
      </c>
      <c r="C3" s="2">
        <f>AVERAGE($B$2:B3)</f>
        <v>5337</v>
      </c>
    </row>
    <row r="4" spans="1:4" x14ac:dyDescent="0.3">
      <c r="A4" t="s">
        <v>59</v>
      </c>
      <c r="B4" s="2">
        <v>9721</v>
      </c>
      <c r="C4" s="2">
        <f>AVERAGE($B$2:B4)</f>
        <v>6798.333333333333</v>
      </c>
      <c r="D4" s="2">
        <f>AVERAGE(B2:B4)</f>
        <v>6798.333333333333</v>
      </c>
    </row>
    <row r="5" spans="1:4" x14ac:dyDescent="0.3">
      <c r="A5" t="s">
        <v>60</v>
      </c>
      <c r="B5" s="2">
        <v>6481</v>
      </c>
      <c r="C5" s="2">
        <f>AVERAGE($B$2:B5)</f>
        <v>6719</v>
      </c>
      <c r="D5" s="2">
        <f t="shared" ref="D5:D13" si="0">AVERAGE(B3:B5)</f>
        <v>7302.333333333333</v>
      </c>
    </row>
    <row r="6" spans="1:4" x14ac:dyDescent="0.3">
      <c r="A6" t="s">
        <v>61</v>
      </c>
      <c r="B6" s="2">
        <v>5311</v>
      </c>
      <c r="C6" s="2">
        <f>AVERAGE($B$2:B6)</f>
        <v>6437.4</v>
      </c>
      <c r="D6" s="2">
        <f t="shared" si="0"/>
        <v>7171</v>
      </c>
    </row>
    <row r="7" spans="1:4" x14ac:dyDescent="0.3">
      <c r="A7" t="s">
        <v>62</v>
      </c>
      <c r="B7" s="2">
        <v>6987</v>
      </c>
      <c r="C7" s="2">
        <f>AVERAGE($B$2:B7)</f>
        <v>6529</v>
      </c>
      <c r="D7" s="2">
        <f t="shared" si="0"/>
        <v>6259.666666666667</v>
      </c>
    </row>
    <row r="8" spans="1:4" x14ac:dyDescent="0.3">
      <c r="A8" t="s">
        <v>63</v>
      </c>
      <c r="B8" s="2">
        <v>8435</v>
      </c>
      <c r="C8" s="2">
        <f>AVERAGE($B$2:B8)</f>
        <v>6801.2857142857147</v>
      </c>
      <c r="D8" s="2">
        <f t="shared" si="0"/>
        <v>6911</v>
      </c>
    </row>
    <row r="9" spans="1:4" x14ac:dyDescent="0.3">
      <c r="A9" t="s">
        <v>64</v>
      </c>
      <c r="B9" s="2">
        <v>3443</v>
      </c>
      <c r="C9" s="2">
        <f>AVERAGE($B$2:B9)</f>
        <v>6381.5</v>
      </c>
      <c r="D9" s="2">
        <f t="shared" si="0"/>
        <v>6288.333333333333</v>
      </c>
    </row>
    <row r="10" spans="1:4" x14ac:dyDescent="0.3">
      <c r="A10" t="s">
        <v>65</v>
      </c>
      <c r="B10" s="2">
        <v>3859</v>
      </c>
      <c r="C10" s="2">
        <f>AVERAGE($B$2:B10)</f>
        <v>6101.2222222222226</v>
      </c>
      <c r="D10" s="2">
        <f t="shared" si="0"/>
        <v>5245.666666666667</v>
      </c>
    </row>
    <row r="11" spans="1:4" x14ac:dyDescent="0.3">
      <c r="A11" t="s">
        <v>66</v>
      </c>
      <c r="B11" s="2">
        <v>4835</v>
      </c>
      <c r="C11" s="2">
        <f>AVERAGE($B$2:B11)</f>
        <v>5974.6</v>
      </c>
      <c r="D11" s="2">
        <f t="shared" si="0"/>
        <v>4045.6666666666665</v>
      </c>
    </row>
    <row r="12" spans="1:4" x14ac:dyDescent="0.3">
      <c r="A12" t="s">
        <v>67</v>
      </c>
      <c r="B12" s="2">
        <v>9139</v>
      </c>
      <c r="C12" s="2">
        <f>AVERAGE($B$2:B12)</f>
        <v>6262.272727272727</v>
      </c>
      <c r="D12" s="2">
        <f t="shared" si="0"/>
        <v>5944.333333333333</v>
      </c>
    </row>
    <row r="13" spans="1:4" x14ac:dyDescent="0.3">
      <c r="A13" t="s">
        <v>68</v>
      </c>
      <c r="B13" s="2">
        <v>9928</v>
      </c>
      <c r="C13" s="2">
        <f>AVERAGE($B$2:B13)</f>
        <v>6567.75</v>
      </c>
      <c r="D13" s="2">
        <f t="shared" si="0"/>
        <v>7967.333333333333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0892B-5F74-42B9-93B6-E033488AC2A1}">
  <dimension ref="A1:B69"/>
  <sheetViews>
    <sheetView workbookViewId="0">
      <selection activeCell="B5" sqref="B5:B69"/>
    </sheetView>
  </sheetViews>
  <sheetFormatPr defaultRowHeight="14.4" x14ac:dyDescent="0.3"/>
  <cols>
    <col min="1" max="1" width="18.44140625" customWidth="1"/>
    <col min="2" max="2" width="12" bestFit="1" customWidth="1"/>
  </cols>
  <sheetData>
    <row r="1" spans="1:2" x14ac:dyDescent="0.3">
      <c r="A1" t="s">
        <v>69</v>
      </c>
    </row>
    <row r="2" spans="1:2" x14ac:dyDescent="0.3">
      <c r="A2" s="17" t="s">
        <v>1</v>
      </c>
      <c r="B2" s="16">
        <v>100</v>
      </c>
    </row>
    <row r="3" spans="1:2" x14ac:dyDescent="0.3">
      <c r="A3" s="17" t="s">
        <v>70</v>
      </c>
      <c r="B3" s="16">
        <v>15</v>
      </c>
    </row>
    <row r="5" spans="1:2" x14ac:dyDescent="0.3">
      <c r="A5" s="16">
        <v>36</v>
      </c>
      <c r="B5" s="16">
        <f>_xlfn.NORM.DIST(A5,$B$2,$B$3,FALSE)</f>
        <v>2.9632884112517205E-6</v>
      </c>
    </row>
    <row r="6" spans="1:2" x14ac:dyDescent="0.3">
      <c r="A6" s="16">
        <v>38</v>
      </c>
      <c r="B6" s="16">
        <f t="shared" ref="B6:B69" si="0">_xlfn.NORM.DIST(A6,$B$2,$B$3,FALSE)</f>
        <v>5.1877475320245033E-6</v>
      </c>
    </row>
    <row r="7" spans="1:2" x14ac:dyDescent="0.3">
      <c r="A7" s="16">
        <v>40</v>
      </c>
      <c r="B7" s="16">
        <f t="shared" si="0"/>
        <v>8.9220150509923572E-6</v>
      </c>
    </row>
    <row r="8" spans="1:2" x14ac:dyDescent="0.3">
      <c r="A8" s="16">
        <v>42</v>
      </c>
      <c r="B8" s="16">
        <f t="shared" si="0"/>
        <v>1.5073922560245645E-5</v>
      </c>
    </row>
    <row r="9" spans="1:2" x14ac:dyDescent="0.3">
      <c r="A9" s="16">
        <v>44</v>
      </c>
      <c r="B9" s="16">
        <f t="shared" si="0"/>
        <v>2.5018934914508668E-5</v>
      </c>
    </row>
    <row r="10" spans="1:2" x14ac:dyDescent="0.3">
      <c r="A10" s="16">
        <v>46</v>
      </c>
      <c r="B10" s="16">
        <f t="shared" si="0"/>
        <v>4.0793462007584798E-5</v>
      </c>
    </row>
    <row r="11" spans="1:2" x14ac:dyDescent="0.3">
      <c r="A11" s="16">
        <v>48</v>
      </c>
      <c r="B11" s="16">
        <f t="shared" si="0"/>
        <v>6.5341864085024788E-5</v>
      </c>
    </row>
    <row r="12" spans="1:2" x14ac:dyDescent="0.3">
      <c r="A12" s="16">
        <v>50</v>
      </c>
      <c r="B12" s="16">
        <f t="shared" si="0"/>
        <v>1.0281859975274034E-4</v>
      </c>
    </row>
    <row r="13" spans="1:2" x14ac:dyDescent="0.3">
      <c r="A13" s="16">
        <v>52</v>
      </c>
      <c r="B13" s="16">
        <f t="shared" si="0"/>
        <v>1.5893921343098936E-4</v>
      </c>
    </row>
    <row r="14" spans="1:2" x14ac:dyDescent="0.3">
      <c r="A14" s="16">
        <v>54</v>
      </c>
      <c r="B14" s="16">
        <f t="shared" si="0"/>
        <v>2.4136241520128577E-4</v>
      </c>
    </row>
    <row r="15" spans="1:2" x14ac:dyDescent="0.3">
      <c r="A15" s="16">
        <v>56</v>
      </c>
      <c r="B15" s="16">
        <f t="shared" si="0"/>
        <v>3.6007041207962535E-4</v>
      </c>
    </row>
    <row r="16" spans="1:2" x14ac:dyDescent="0.3">
      <c r="A16" s="16">
        <v>58</v>
      </c>
      <c r="B16" s="16">
        <f t="shared" si="0"/>
        <v>5.2769677219866452E-4</v>
      </c>
    </row>
    <row r="17" spans="1:2" x14ac:dyDescent="0.3">
      <c r="A17" s="16">
        <v>60</v>
      </c>
      <c r="B17" s="16">
        <f t="shared" si="0"/>
        <v>7.597324015864961E-4</v>
      </c>
    </row>
    <row r="18" spans="1:2" x14ac:dyDescent="0.3">
      <c r="A18" s="16">
        <v>62</v>
      </c>
      <c r="B18" s="16">
        <f t="shared" si="0"/>
        <v>1.0745238742432661E-3</v>
      </c>
    </row>
    <row r="19" spans="1:2" x14ac:dyDescent="0.3">
      <c r="A19" s="16">
        <v>64</v>
      </c>
      <c r="B19" s="16">
        <f t="shared" si="0"/>
        <v>1.49296868632286E-3</v>
      </c>
    </row>
    <row r="20" spans="1:2" x14ac:dyDescent="0.3">
      <c r="A20" s="16">
        <v>66</v>
      </c>
      <c r="B20" s="16">
        <f t="shared" si="0"/>
        <v>2.0378139818590327E-3</v>
      </c>
    </row>
    <row r="21" spans="1:2" x14ac:dyDescent="0.3">
      <c r="A21" s="16">
        <v>68</v>
      </c>
      <c r="B21" s="16">
        <f t="shared" si="0"/>
        <v>2.732483736348146E-3</v>
      </c>
    </row>
    <row r="22" spans="1:2" x14ac:dyDescent="0.3">
      <c r="A22" s="16">
        <v>70</v>
      </c>
      <c r="B22" s="16">
        <f t="shared" si="0"/>
        <v>3.5993977675458709E-3</v>
      </c>
    </row>
    <row r="23" spans="1:2" x14ac:dyDescent="0.3">
      <c r="A23" s="16">
        <v>72</v>
      </c>
      <c r="B23" s="16">
        <f t="shared" si="0"/>
        <v>4.6578050713943445E-3</v>
      </c>
    </row>
    <row r="24" spans="1:2" x14ac:dyDescent="0.3">
      <c r="A24" s="16">
        <v>74</v>
      </c>
      <c r="B24" s="16">
        <f t="shared" si="0"/>
        <v>5.92123073937279E-3</v>
      </c>
    </row>
    <row r="25" spans="1:2" x14ac:dyDescent="0.3">
      <c r="A25" s="16">
        <v>76</v>
      </c>
      <c r="B25" s="16">
        <f t="shared" si="0"/>
        <v>7.3947223119637025E-3</v>
      </c>
    </row>
    <row r="26" spans="1:2" x14ac:dyDescent="0.3">
      <c r="A26" s="16">
        <v>78</v>
      </c>
      <c r="B26" s="16">
        <f t="shared" si="0"/>
        <v>9.072165494151874E-3</v>
      </c>
    </row>
    <row r="27" spans="1:2" x14ac:dyDescent="0.3">
      <c r="A27" s="16">
        <v>80</v>
      </c>
      <c r="B27" s="16">
        <f t="shared" si="0"/>
        <v>1.0934004978399576E-2</v>
      </c>
    </row>
    <row r="28" spans="1:2" x14ac:dyDescent="0.3">
      <c r="A28" s="16">
        <v>82</v>
      </c>
      <c r="B28" s="16">
        <f t="shared" si="0"/>
        <v>1.2945736998880863E-2</v>
      </c>
    </row>
    <row r="29" spans="1:2" x14ac:dyDescent="0.3">
      <c r="A29" s="16">
        <v>84</v>
      </c>
      <c r="B29" s="16">
        <f t="shared" si="0"/>
        <v>1.505752183114163E-2</v>
      </c>
    </row>
    <row r="30" spans="1:2" x14ac:dyDescent="0.3">
      <c r="A30" s="16">
        <v>86</v>
      </c>
      <c r="B30" s="16">
        <f t="shared" si="0"/>
        <v>1.7205188393549176E-2</v>
      </c>
    </row>
    <row r="31" spans="1:2" x14ac:dyDescent="0.3">
      <c r="A31" s="16">
        <v>88</v>
      </c>
      <c r="B31" s="16">
        <f t="shared" si="0"/>
        <v>1.9312770184098847E-2</v>
      </c>
    </row>
    <row r="32" spans="1:2" x14ac:dyDescent="0.3">
      <c r="A32" s="16">
        <v>90</v>
      </c>
      <c r="B32" s="16">
        <f t="shared" si="0"/>
        <v>2.129653370149015E-2</v>
      </c>
    </row>
    <row r="33" spans="1:2" x14ac:dyDescent="0.3">
      <c r="A33" s="16">
        <v>92</v>
      </c>
      <c r="B33" s="16">
        <f t="shared" si="0"/>
        <v>2.3070259545128195E-2</v>
      </c>
    </row>
    <row r="34" spans="1:2" x14ac:dyDescent="0.3">
      <c r="A34" s="16">
        <v>94</v>
      </c>
      <c r="B34" s="16">
        <f t="shared" si="0"/>
        <v>2.4551342686888224E-2</v>
      </c>
    </row>
    <row r="35" spans="1:2" x14ac:dyDescent="0.3">
      <c r="A35" s="16">
        <v>96</v>
      </c>
      <c r="B35" s="16">
        <f t="shared" si="0"/>
        <v>2.5667124973067602E-2</v>
      </c>
    </row>
    <row r="36" spans="1:2" x14ac:dyDescent="0.3">
      <c r="A36" s="16">
        <v>98</v>
      </c>
      <c r="B36" s="16">
        <f t="shared" si="0"/>
        <v>2.6360789392387847E-2</v>
      </c>
    </row>
    <row r="37" spans="1:2" x14ac:dyDescent="0.3">
      <c r="A37" s="16">
        <v>100</v>
      </c>
      <c r="B37" s="16">
        <f t="shared" si="0"/>
        <v>2.6596152026762181E-2</v>
      </c>
    </row>
    <row r="38" spans="1:2" x14ac:dyDescent="0.3">
      <c r="A38" s="16">
        <v>102</v>
      </c>
      <c r="B38" s="16">
        <f t="shared" si="0"/>
        <v>2.6360789392387847E-2</v>
      </c>
    </row>
    <row r="39" spans="1:2" x14ac:dyDescent="0.3">
      <c r="A39" s="16">
        <v>104</v>
      </c>
      <c r="B39" s="16">
        <f t="shared" si="0"/>
        <v>2.5667124973067602E-2</v>
      </c>
    </row>
    <row r="40" spans="1:2" x14ac:dyDescent="0.3">
      <c r="A40" s="16">
        <v>106</v>
      </c>
      <c r="B40" s="16">
        <f t="shared" si="0"/>
        <v>2.4551342686888224E-2</v>
      </c>
    </row>
    <row r="41" spans="1:2" x14ac:dyDescent="0.3">
      <c r="A41" s="16">
        <v>108</v>
      </c>
      <c r="B41" s="16">
        <f t="shared" si="0"/>
        <v>2.3070259545128195E-2</v>
      </c>
    </row>
    <row r="42" spans="1:2" x14ac:dyDescent="0.3">
      <c r="A42" s="16">
        <v>110</v>
      </c>
      <c r="B42" s="16">
        <f t="shared" si="0"/>
        <v>2.129653370149015E-2</v>
      </c>
    </row>
    <row r="43" spans="1:2" x14ac:dyDescent="0.3">
      <c r="A43" s="16">
        <v>112</v>
      </c>
      <c r="B43" s="16">
        <f t="shared" si="0"/>
        <v>1.9312770184098847E-2</v>
      </c>
    </row>
    <row r="44" spans="1:2" x14ac:dyDescent="0.3">
      <c r="A44" s="16">
        <v>114</v>
      </c>
      <c r="B44" s="16">
        <f t="shared" si="0"/>
        <v>1.7205188393549176E-2</v>
      </c>
    </row>
    <row r="45" spans="1:2" x14ac:dyDescent="0.3">
      <c r="A45" s="16">
        <v>116</v>
      </c>
      <c r="B45" s="16">
        <f t="shared" si="0"/>
        <v>1.505752183114163E-2</v>
      </c>
    </row>
    <row r="46" spans="1:2" x14ac:dyDescent="0.3">
      <c r="A46" s="16">
        <v>118</v>
      </c>
      <c r="B46" s="16">
        <f t="shared" si="0"/>
        <v>1.2945736998880863E-2</v>
      </c>
    </row>
    <row r="47" spans="1:2" x14ac:dyDescent="0.3">
      <c r="A47" s="16">
        <v>120</v>
      </c>
      <c r="B47" s="16">
        <f t="shared" si="0"/>
        <v>1.0934004978399576E-2</v>
      </c>
    </row>
    <row r="48" spans="1:2" x14ac:dyDescent="0.3">
      <c r="A48" s="16">
        <v>122</v>
      </c>
      <c r="B48" s="16">
        <f t="shared" si="0"/>
        <v>9.072165494151874E-3</v>
      </c>
    </row>
    <row r="49" spans="1:2" x14ac:dyDescent="0.3">
      <c r="A49" s="16">
        <v>124</v>
      </c>
      <c r="B49" s="16">
        <f t="shared" si="0"/>
        <v>7.3947223119637025E-3</v>
      </c>
    </row>
    <row r="50" spans="1:2" x14ac:dyDescent="0.3">
      <c r="A50" s="16">
        <v>126</v>
      </c>
      <c r="B50" s="16">
        <f t="shared" si="0"/>
        <v>5.92123073937279E-3</v>
      </c>
    </row>
    <row r="51" spans="1:2" x14ac:dyDescent="0.3">
      <c r="A51" s="16">
        <v>128</v>
      </c>
      <c r="B51" s="16">
        <f t="shared" si="0"/>
        <v>4.6578050713943445E-3</v>
      </c>
    </row>
    <row r="52" spans="1:2" x14ac:dyDescent="0.3">
      <c r="A52" s="16">
        <v>130</v>
      </c>
      <c r="B52" s="16">
        <f t="shared" si="0"/>
        <v>3.5993977675458709E-3</v>
      </c>
    </row>
    <row r="53" spans="1:2" x14ac:dyDescent="0.3">
      <c r="A53" s="16">
        <v>132</v>
      </c>
      <c r="B53" s="16">
        <f t="shared" si="0"/>
        <v>2.732483736348146E-3</v>
      </c>
    </row>
    <row r="54" spans="1:2" x14ac:dyDescent="0.3">
      <c r="A54" s="16">
        <v>134</v>
      </c>
      <c r="B54" s="16">
        <f t="shared" si="0"/>
        <v>2.0378139818590327E-3</v>
      </c>
    </row>
    <row r="55" spans="1:2" x14ac:dyDescent="0.3">
      <c r="A55" s="16">
        <v>136</v>
      </c>
      <c r="B55" s="16">
        <f t="shared" si="0"/>
        <v>1.49296868632286E-3</v>
      </c>
    </row>
    <row r="56" spans="1:2" x14ac:dyDescent="0.3">
      <c r="A56" s="16">
        <v>138</v>
      </c>
      <c r="B56" s="16">
        <f t="shared" si="0"/>
        <v>1.0745238742432661E-3</v>
      </c>
    </row>
    <row r="57" spans="1:2" x14ac:dyDescent="0.3">
      <c r="A57" s="16">
        <v>140</v>
      </c>
      <c r="B57" s="16">
        <f t="shared" si="0"/>
        <v>7.597324015864961E-4</v>
      </c>
    </row>
    <row r="58" spans="1:2" x14ac:dyDescent="0.3">
      <c r="A58" s="16">
        <v>142</v>
      </c>
      <c r="B58" s="16">
        <f t="shared" si="0"/>
        <v>5.2769677219866452E-4</v>
      </c>
    </row>
    <row r="59" spans="1:2" x14ac:dyDescent="0.3">
      <c r="A59" s="16">
        <v>144</v>
      </c>
      <c r="B59" s="16">
        <f t="shared" si="0"/>
        <v>3.6007041207962535E-4</v>
      </c>
    </row>
    <row r="60" spans="1:2" x14ac:dyDescent="0.3">
      <c r="A60" s="16">
        <v>146</v>
      </c>
      <c r="B60" s="16">
        <f t="shared" si="0"/>
        <v>2.4136241520128577E-4</v>
      </c>
    </row>
    <row r="61" spans="1:2" x14ac:dyDescent="0.3">
      <c r="A61" s="16">
        <v>148</v>
      </c>
      <c r="B61" s="16">
        <f t="shared" si="0"/>
        <v>1.5893921343098936E-4</v>
      </c>
    </row>
    <row r="62" spans="1:2" x14ac:dyDescent="0.3">
      <c r="A62" s="16">
        <v>150</v>
      </c>
      <c r="B62" s="16">
        <f t="shared" si="0"/>
        <v>1.0281859975274034E-4</v>
      </c>
    </row>
    <row r="63" spans="1:2" x14ac:dyDescent="0.3">
      <c r="A63" s="16">
        <v>152</v>
      </c>
      <c r="B63" s="16">
        <f t="shared" si="0"/>
        <v>6.5341864085024788E-5</v>
      </c>
    </row>
    <row r="64" spans="1:2" x14ac:dyDescent="0.3">
      <c r="A64" s="16">
        <v>154</v>
      </c>
      <c r="B64" s="16">
        <f t="shared" si="0"/>
        <v>4.0793462007584798E-5</v>
      </c>
    </row>
    <row r="65" spans="1:2" x14ac:dyDescent="0.3">
      <c r="A65" s="16">
        <v>156</v>
      </c>
      <c r="B65" s="16">
        <f t="shared" si="0"/>
        <v>2.5018934914508668E-5</v>
      </c>
    </row>
    <row r="66" spans="1:2" x14ac:dyDescent="0.3">
      <c r="A66" s="16">
        <v>158</v>
      </c>
      <c r="B66" s="16">
        <f t="shared" si="0"/>
        <v>1.5073922560245645E-5</v>
      </c>
    </row>
    <row r="67" spans="1:2" x14ac:dyDescent="0.3">
      <c r="A67" s="16">
        <v>160</v>
      </c>
      <c r="B67" s="16">
        <f t="shared" si="0"/>
        <v>8.9220150509923572E-6</v>
      </c>
    </row>
    <row r="68" spans="1:2" x14ac:dyDescent="0.3">
      <c r="A68" s="16">
        <v>162</v>
      </c>
      <c r="B68" s="16">
        <f t="shared" si="0"/>
        <v>5.1877475320245033E-6</v>
      </c>
    </row>
    <row r="69" spans="1:2" x14ac:dyDescent="0.3">
      <c r="A69" s="16">
        <v>164</v>
      </c>
      <c r="B69" s="16">
        <f t="shared" si="0"/>
        <v>2.9632884112517205E-6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6B8E-4D02-4AB8-A5CF-6EA0CEB90AF2}">
  <dimension ref="A1:F151"/>
  <sheetViews>
    <sheetView workbookViewId="0">
      <selection activeCell="F5" sqref="F5"/>
    </sheetView>
  </sheetViews>
  <sheetFormatPr defaultRowHeight="14.4" x14ac:dyDescent="0.3"/>
  <cols>
    <col min="1" max="1" width="10.6640625" customWidth="1"/>
    <col min="2" max="2" width="11" customWidth="1"/>
  </cols>
  <sheetData>
    <row r="1" spans="1:6" x14ac:dyDescent="0.3">
      <c r="A1" s="20" t="s">
        <v>71</v>
      </c>
      <c r="B1" s="20" t="s">
        <v>72</v>
      </c>
      <c r="D1" t="s">
        <v>75</v>
      </c>
    </row>
    <row r="2" spans="1:6" x14ac:dyDescent="0.3">
      <c r="A2" s="19">
        <v>1</v>
      </c>
      <c r="B2" s="19">
        <f>_xlfn.EXPON.DIST(A2,1/$E$2,FALSE)</f>
        <v>1.9603973466135106E-2</v>
      </c>
      <c r="D2" s="20" t="s">
        <v>73</v>
      </c>
      <c r="E2" s="19">
        <v>50</v>
      </c>
    </row>
    <row r="3" spans="1:6" x14ac:dyDescent="0.3">
      <c r="A3" s="19">
        <v>2</v>
      </c>
      <c r="B3" s="19">
        <f t="shared" ref="B3:B66" si="0">_xlfn.EXPON.DIST(A3,1/$E$2,FALSE)</f>
        <v>1.9215788783046465E-2</v>
      </c>
      <c r="D3" s="19"/>
      <c r="E3" s="19"/>
    </row>
    <row r="4" spans="1:6" x14ac:dyDescent="0.3">
      <c r="A4" s="19">
        <v>3</v>
      </c>
      <c r="B4" s="19">
        <f t="shared" si="0"/>
        <v>1.8835290671684976E-2</v>
      </c>
      <c r="D4" s="21" t="s">
        <v>74</v>
      </c>
      <c r="E4" s="22"/>
      <c r="F4">
        <f>B17-B18</f>
        <v>2.8757428622162677E-4</v>
      </c>
    </row>
    <row r="5" spans="1:6" x14ac:dyDescent="0.3">
      <c r="A5" s="19">
        <v>4</v>
      </c>
      <c r="B5" s="19">
        <f t="shared" si="0"/>
        <v>1.8462326927732715E-2</v>
      </c>
    </row>
    <row r="6" spans="1:6" x14ac:dyDescent="0.3">
      <c r="A6" s="19">
        <v>5</v>
      </c>
      <c r="B6" s="19">
        <f t="shared" si="0"/>
        <v>1.809674836071919E-2</v>
      </c>
    </row>
    <row r="7" spans="1:6" x14ac:dyDescent="0.3">
      <c r="A7" s="19">
        <v>6</v>
      </c>
      <c r="B7" s="19">
        <f t="shared" si="0"/>
        <v>1.7738408734343149E-2</v>
      </c>
    </row>
    <row r="8" spans="1:6" x14ac:dyDescent="0.3">
      <c r="A8" s="19">
        <v>7</v>
      </c>
      <c r="B8" s="19">
        <f t="shared" si="0"/>
        <v>1.7387164707976119E-2</v>
      </c>
    </row>
    <row r="9" spans="1:6" x14ac:dyDescent="0.3">
      <c r="A9" s="19">
        <v>8</v>
      </c>
      <c r="B9" s="19">
        <f t="shared" si="0"/>
        <v>1.7042875779324226E-2</v>
      </c>
    </row>
    <row r="10" spans="1:6" x14ac:dyDescent="0.3">
      <c r="A10" s="19">
        <v>9</v>
      </c>
      <c r="B10" s="19">
        <f t="shared" si="0"/>
        <v>1.6705404228225439E-2</v>
      </c>
    </row>
    <row r="11" spans="1:6" x14ac:dyDescent="0.3">
      <c r="A11" s="19">
        <v>10</v>
      </c>
      <c r="B11" s="19">
        <f t="shared" si="0"/>
        <v>1.6374615061559638E-2</v>
      </c>
    </row>
    <row r="12" spans="1:6" x14ac:dyDescent="0.3">
      <c r="A12" s="19">
        <v>11</v>
      </c>
      <c r="B12" s="19">
        <f t="shared" si="0"/>
        <v>1.6050375959249571E-2</v>
      </c>
    </row>
    <row r="13" spans="1:6" x14ac:dyDescent="0.3">
      <c r="A13" s="19">
        <v>12</v>
      </c>
      <c r="B13" s="19">
        <f t="shared" si="0"/>
        <v>1.5732557221331069E-2</v>
      </c>
    </row>
    <row r="14" spans="1:6" x14ac:dyDescent="0.3">
      <c r="A14" s="19">
        <v>13</v>
      </c>
      <c r="B14" s="19">
        <f t="shared" si="0"/>
        <v>1.5421031716071325E-2</v>
      </c>
    </row>
    <row r="15" spans="1:6" x14ac:dyDescent="0.3">
      <c r="A15" s="19">
        <v>14</v>
      </c>
      <c r="B15" s="19">
        <f t="shared" si="0"/>
        <v>1.5115674829114511E-2</v>
      </c>
    </row>
    <row r="16" spans="1:6" x14ac:dyDescent="0.3">
      <c r="A16" s="19">
        <v>15</v>
      </c>
      <c r="B16" s="19">
        <f t="shared" si="0"/>
        <v>1.4816364413634358E-2</v>
      </c>
    </row>
    <row r="17" spans="1:2" x14ac:dyDescent="0.3">
      <c r="A17" s="19">
        <v>16</v>
      </c>
      <c r="B17" s="19">
        <f t="shared" si="0"/>
        <v>1.4522980741473819E-2</v>
      </c>
    </row>
    <row r="18" spans="1:2" x14ac:dyDescent="0.3">
      <c r="A18" s="19">
        <v>17</v>
      </c>
      <c r="B18" s="19">
        <f t="shared" si="0"/>
        <v>1.4235406455252193E-2</v>
      </c>
    </row>
    <row r="19" spans="1:2" x14ac:dyDescent="0.3">
      <c r="A19" s="19">
        <v>18</v>
      </c>
      <c r="B19" s="19">
        <f t="shared" si="0"/>
        <v>1.3953526521420621E-2</v>
      </c>
    </row>
    <row r="20" spans="1:2" x14ac:dyDescent="0.3">
      <c r="A20" s="19">
        <v>19</v>
      </c>
      <c r="B20" s="19">
        <f t="shared" si="0"/>
        <v>1.3677228184247117E-2</v>
      </c>
    </row>
    <row r="21" spans="1:2" x14ac:dyDescent="0.3">
      <c r="A21" s="19">
        <v>20</v>
      </c>
      <c r="B21" s="19">
        <f t="shared" si="0"/>
        <v>1.3406400920712786E-2</v>
      </c>
    </row>
    <row r="22" spans="1:2" x14ac:dyDescent="0.3">
      <c r="A22" s="19">
        <v>21</v>
      </c>
      <c r="B22" s="19">
        <f t="shared" si="0"/>
        <v>1.3140936396301135E-2</v>
      </c>
    </row>
    <row r="23" spans="1:2" x14ac:dyDescent="0.3">
      <c r="A23" s="19">
        <v>22</v>
      </c>
      <c r="B23" s="19">
        <f t="shared" si="0"/>
        <v>1.2880728421662829E-2</v>
      </c>
    </row>
    <row r="24" spans="1:2" x14ac:dyDescent="0.3">
      <c r="A24" s="19">
        <v>23</v>
      </c>
      <c r="B24" s="19">
        <f t="shared" si="0"/>
        <v>1.2625672910138519E-2</v>
      </c>
    </row>
    <row r="25" spans="1:2" x14ac:dyDescent="0.3">
      <c r="A25" s="19">
        <v>24</v>
      </c>
      <c r="B25" s="19">
        <f t="shared" si="0"/>
        <v>1.2375667836122817E-2</v>
      </c>
    </row>
    <row r="26" spans="1:2" x14ac:dyDescent="0.3">
      <c r="A26" s="19">
        <v>25</v>
      </c>
      <c r="B26" s="19">
        <f t="shared" si="0"/>
        <v>1.2130613194252668E-2</v>
      </c>
    </row>
    <row r="27" spans="1:2" x14ac:dyDescent="0.3">
      <c r="A27" s="19">
        <v>26</v>
      </c>
      <c r="B27" s="19">
        <f t="shared" si="0"/>
        <v>1.1890410959403888E-2</v>
      </c>
    </row>
    <row r="28" spans="1:2" x14ac:dyDescent="0.3">
      <c r="A28" s="19">
        <v>27</v>
      </c>
      <c r="B28" s="19">
        <f t="shared" si="0"/>
        <v>1.1654965047479792E-2</v>
      </c>
    </row>
    <row r="29" spans="1:2" x14ac:dyDescent="0.3">
      <c r="A29" s="19">
        <v>28</v>
      </c>
      <c r="B29" s="19">
        <f t="shared" si="0"/>
        <v>1.1424181276976298E-2</v>
      </c>
    </row>
    <row r="30" spans="1:2" x14ac:dyDescent="0.3">
      <c r="A30" s="19">
        <v>29</v>
      </c>
      <c r="B30" s="19">
        <f t="shared" si="0"/>
        <v>1.1197967331308041E-2</v>
      </c>
    </row>
    <row r="31" spans="1:2" x14ac:dyDescent="0.3">
      <c r="A31" s="19">
        <v>30</v>
      </c>
      <c r="B31" s="19">
        <f t="shared" si="0"/>
        <v>1.0976232721880528E-2</v>
      </c>
    </row>
    <row r="32" spans="1:2" x14ac:dyDescent="0.3">
      <c r="A32" s="19">
        <v>31</v>
      </c>
      <c r="B32" s="19">
        <f t="shared" si="0"/>
        <v>1.075888875189349E-2</v>
      </c>
    </row>
    <row r="33" spans="1:2" x14ac:dyDescent="0.3">
      <c r="A33" s="19">
        <v>32</v>
      </c>
      <c r="B33" s="19">
        <f t="shared" si="0"/>
        <v>1.0545848480860971E-2</v>
      </c>
    </row>
    <row r="34" spans="1:2" x14ac:dyDescent="0.3">
      <c r="A34" s="19">
        <v>33</v>
      </c>
      <c r="B34" s="19">
        <f t="shared" si="0"/>
        <v>1.0337026689833984E-2</v>
      </c>
    </row>
    <row r="35" spans="1:2" x14ac:dyDescent="0.3">
      <c r="A35" s="19">
        <v>34</v>
      </c>
      <c r="B35" s="19">
        <f t="shared" si="0"/>
        <v>1.0132339847311791E-2</v>
      </c>
    </row>
    <row r="36" spans="1:2" x14ac:dyDescent="0.3">
      <c r="A36" s="19">
        <v>35</v>
      </c>
      <c r="B36" s="19">
        <f t="shared" si="0"/>
        <v>9.9317060758281894E-3</v>
      </c>
    </row>
    <row r="37" spans="1:2" x14ac:dyDescent="0.3">
      <c r="A37" s="19">
        <v>36</v>
      </c>
      <c r="B37" s="19">
        <f t="shared" si="0"/>
        <v>9.7350451191994345E-3</v>
      </c>
    </row>
    <row r="38" spans="1:2" x14ac:dyDescent="0.3">
      <c r="A38" s="19">
        <v>37</v>
      </c>
      <c r="B38" s="19">
        <f t="shared" si="0"/>
        <v>9.5422783104206887E-3</v>
      </c>
    </row>
    <row r="39" spans="1:2" x14ac:dyDescent="0.3">
      <c r="A39" s="19">
        <v>38</v>
      </c>
      <c r="B39" s="19">
        <f t="shared" si="0"/>
        <v>9.3533285401981841E-3</v>
      </c>
    </row>
    <row r="40" spans="1:2" x14ac:dyDescent="0.3">
      <c r="A40" s="19">
        <v>39</v>
      </c>
      <c r="B40" s="19">
        <f t="shared" si="0"/>
        <v>9.1681202261044703E-3</v>
      </c>
    </row>
    <row r="41" spans="1:2" x14ac:dyDescent="0.3">
      <c r="A41" s="19">
        <v>40</v>
      </c>
      <c r="B41" s="19">
        <f t="shared" si="0"/>
        <v>8.9865792823444323E-3</v>
      </c>
    </row>
    <row r="42" spans="1:2" x14ac:dyDescent="0.3">
      <c r="A42" s="19">
        <v>41</v>
      </c>
      <c r="B42" s="19">
        <f t="shared" si="0"/>
        <v>8.8086330901199859E-3</v>
      </c>
    </row>
    <row r="43" spans="1:2" x14ac:dyDescent="0.3">
      <c r="A43" s="19">
        <v>42</v>
      </c>
      <c r="B43" s="19">
        <f t="shared" si="0"/>
        <v>8.6342104685815952E-3</v>
      </c>
    </row>
    <row r="44" spans="1:2" x14ac:dyDescent="0.3">
      <c r="A44" s="19">
        <v>43</v>
      </c>
      <c r="B44" s="19">
        <f t="shared" si="0"/>
        <v>8.4632416463549763E-3</v>
      </c>
    </row>
    <row r="45" spans="1:2" x14ac:dyDescent="0.3">
      <c r="A45" s="19">
        <v>44</v>
      </c>
      <c r="B45" s="19">
        <f t="shared" si="0"/>
        <v>8.2956582336316271E-3</v>
      </c>
    </row>
    <row r="46" spans="1:2" x14ac:dyDescent="0.3">
      <c r="A46" s="19">
        <v>45</v>
      </c>
      <c r="B46" s="19">
        <f t="shared" si="0"/>
        <v>8.1313931948119832E-3</v>
      </c>
    </row>
    <row r="47" spans="1:2" x14ac:dyDescent="0.3">
      <c r="A47" s="19">
        <v>46</v>
      </c>
      <c r="B47" s="19">
        <f t="shared" si="0"/>
        <v>7.9703808216902827E-3</v>
      </c>
    </row>
    <row r="48" spans="1:2" x14ac:dyDescent="0.3">
      <c r="A48" s="19">
        <v>47</v>
      </c>
      <c r="B48" s="19">
        <f t="shared" si="0"/>
        <v>7.8125567071704212E-3</v>
      </c>
    </row>
    <row r="49" spans="1:2" x14ac:dyDescent="0.3">
      <c r="A49" s="19">
        <v>48</v>
      </c>
      <c r="B49" s="19">
        <f t="shared" si="0"/>
        <v>7.6578577195022413E-3</v>
      </c>
    </row>
    <row r="50" spans="1:2" x14ac:dyDescent="0.3">
      <c r="A50" s="19">
        <v>49</v>
      </c>
      <c r="B50" s="19">
        <f t="shared" si="0"/>
        <v>7.5062219770279919E-3</v>
      </c>
    </row>
    <row r="51" spans="1:2" x14ac:dyDescent="0.3">
      <c r="A51" s="19">
        <v>50</v>
      </c>
      <c r="B51" s="19">
        <f t="shared" si="0"/>
        <v>7.3575888234288468E-3</v>
      </c>
    </row>
    <row r="52" spans="1:2" x14ac:dyDescent="0.3">
      <c r="A52" s="19">
        <v>51</v>
      </c>
      <c r="B52" s="19">
        <f t="shared" si="0"/>
        <v>7.2118988034615659E-3</v>
      </c>
    </row>
    <row r="53" spans="1:2" x14ac:dyDescent="0.3">
      <c r="A53" s="19">
        <v>52</v>
      </c>
      <c r="B53" s="19">
        <f t="shared" si="0"/>
        <v>7.0690936391756033E-3</v>
      </c>
    </row>
    <row r="54" spans="1:2" x14ac:dyDescent="0.3">
      <c r="A54" s="19">
        <v>53</v>
      </c>
      <c r="B54" s="19">
        <f t="shared" si="0"/>
        <v>6.9291162066011484E-3</v>
      </c>
    </row>
    <row r="55" spans="1:2" x14ac:dyDescent="0.3">
      <c r="A55" s="19">
        <v>54</v>
      </c>
      <c r="B55" s="19">
        <f t="shared" si="0"/>
        <v>6.7919105128987824E-3</v>
      </c>
    </row>
    <row r="56" spans="1:2" x14ac:dyDescent="0.3">
      <c r="A56" s="19">
        <v>55</v>
      </c>
      <c r="B56" s="19">
        <f t="shared" si="0"/>
        <v>6.6574216739615916E-3</v>
      </c>
    </row>
    <row r="57" spans="1:2" x14ac:dyDescent="0.3">
      <c r="A57" s="19">
        <v>56</v>
      </c>
      <c r="B57" s="19">
        <f t="shared" si="0"/>
        <v>6.5255958924607897E-3</v>
      </c>
    </row>
    <row r="58" spans="1:2" x14ac:dyDescent="0.3">
      <c r="A58" s="19">
        <v>57</v>
      </c>
      <c r="B58" s="19">
        <f t="shared" si="0"/>
        <v>6.396380436326077E-3</v>
      </c>
    </row>
    <row r="59" spans="1:2" x14ac:dyDescent="0.3">
      <c r="A59" s="19">
        <v>58</v>
      </c>
      <c r="B59" s="19">
        <f t="shared" si="0"/>
        <v>6.269723617652107E-3</v>
      </c>
    </row>
    <row r="60" spans="1:2" x14ac:dyDescent="0.3">
      <c r="A60" s="19">
        <v>59</v>
      </c>
      <c r="B60" s="19">
        <f t="shared" si="0"/>
        <v>6.1455747720226255E-3</v>
      </c>
    </row>
    <row r="61" spans="1:2" x14ac:dyDescent="0.3">
      <c r="A61" s="19">
        <v>60</v>
      </c>
      <c r="B61" s="19">
        <f t="shared" si="0"/>
        <v>6.0238842382440427E-3</v>
      </c>
    </row>
    <row r="62" spans="1:2" x14ac:dyDescent="0.3">
      <c r="A62" s="19">
        <v>61</v>
      </c>
      <c r="B62" s="19">
        <f t="shared" si="0"/>
        <v>5.9046033384802842E-3</v>
      </c>
    </row>
    <row r="63" spans="1:2" x14ac:dyDescent="0.3">
      <c r="A63" s="19">
        <v>62</v>
      </c>
      <c r="B63" s="19">
        <f t="shared" si="0"/>
        <v>5.7876843587810122E-3</v>
      </c>
    </row>
    <row r="64" spans="1:2" x14ac:dyDescent="0.3">
      <c r="A64" s="19">
        <v>63</v>
      </c>
      <c r="B64" s="19">
        <f t="shared" si="0"/>
        <v>5.6730805299954083E-3</v>
      </c>
    </row>
    <row r="65" spans="1:2" x14ac:dyDescent="0.3">
      <c r="A65" s="19">
        <v>64</v>
      </c>
      <c r="B65" s="19">
        <f t="shared" si="0"/>
        <v>5.5607460090638825E-3</v>
      </c>
    </row>
    <row r="66" spans="1:2" x14ac:dyDescent="0.3">
      <c r="A66" s="19">
        <v>65</v>
      </c>
      <c r="B66" s="19">
        <f t="shared" si="0"/>
        <v>5.4506358606802516E-3</v>
      </c>
    </row>
    <row r="67" spans="1:2" x14ac:dyDescent="0.3">
      <c r="A67" s="19">
        <v>66</v>
      </c>
      <c r="B67" s="19">
        <f t="shared" ref="B67:B130" si="1">_xlfn.EXPON.DIST(A67,1/$E$2,FALSE)</f>
        <v>5.3427060393170071E-3</v>
      </c>
    </row>
    <row r="68" spans="1:2" x14ac:dyDescent="0.3">
      <c r="A68" s="19">
        <v>67</v>
      </c>
      <c r="B68" s="19">
        <f t="shared" si="1"/>
        <v>5.23691337160652E-3</v>
      </c>
    </row>
    <row r="69" spans="1:2" x14ac:dyDescent="0.3">
      <c r="A69" s="19">
        <v>68</v>
      </c>
      <c r="B69" s="19">
        <f t="shared" si="1"/>
        <v>5.1332155390711176E-3</v>
      </c>
    </row>
    <row r="70" spans="1:2" x14ac:dyDescent="0.3">
      <c r="A70" s="19">
        <v>69</v>
      </c>
      <c r="B70" s="19">
        <f t="shared" si="1"/>
        <v>5.0315710611951291E-3</v>
      </c>
    </row>
    <row r="71" spans="1:2" x14ac:dyDescent="0.3">
      <c r="A71" s="19">
        <v>70</v>
      </c>
      <c r="B71" s="19">
        <f t="shared" si="1"/>
        <v>4.931939278832129E-3</v>
      </c>
    </row>
    <row r="72" spans="1:2" x14ac:dyDescent="0.3">
      <c r="A72" s="19">
        <v>71</v>
      </c>
      <c r="B72" s="19">
        <f t="shared" si="1"/>
        <v>4.834280337940729E-3</v>
      </c>
    </row>
    <row r="73" spans="1:2" x14ac:dyDescent="0.3">
      <c r="A73" s="19">
        <v>72</v>
      </c>
      <c r="B73" s="19">
        <f t="shared" si="1"/>
        <v>4.7385551736424357E-3</v>
      </c>
    </row>
    <row r="74" spans="1:2" x14ac:dyDescent="0.3">
      <c r="A74" s="19">
        <v>73</v>
      </c>
      <c r="B74" s="19">
        <f t="shared" si="1"/>
        <v>4.644725494595177E-3</v>
      </c>
    </row>
    <row r="75" spans="1:2" x14ac:dyDescent="0.3">
      <c r="A75" s="19">
        <v>74</v>
      </c>
      <c r="B75" s="19">
        <f t="shared" si="1"/>
        <v>4.5527537676762547E-3</v>
      </c>
    </row>
    <row r="76" spans="1:2" x14ac:dyDescent="0.3">
      <c r="A76" s="19">
        <v>75</v>
      </c>
      <c r="B76" s="19">
        <f t="shared" si="1"/>
        <v>4.4626032029685967E-3</v>
      </c>
    </row>
    <row r="77" spans="1:2" x14ac:dyDescent="0.3">
      <c r="A77" s="19">
        <v>76</v>
      </c>
      <c r="B77" s="19">
        <f t="shared" si="1"/>
        <v>4.3742377390442949E-3</v>
      </c>
    </row>
    <row r="78" spans="1:2" x14ac:dyDescent="0.3">
      <c r="A78" s="19">
        <v>77</v>
      </c>
      <c r="B78" s="19">
        <f t="shared" si="1"/>
        <v>4.2876220285395592E-3</v>
      </c>
    </row>
    <row r="79" spans="1:2" x14ac:dyDescent="0.3">
      <c r="A79" s="19">
        <v>78</v>
      </c>
      <c r="B79" s="19">
        <f t="shared" si="1"/>
        <v>4.2027214240152946E-3</v>
      </c>
    </row>
    <row r="80" spans="1:2" x14ac:dyDescent="0.3">
      <c r="A80" s="19">
        <v>79</v>
      </c>
      <c r="B80" s="19">
        <f t="shared" si="1"/>
        <v>4.1195019640976691E-3</v>
      </c>
    </row>
    <row r="81" spans="1:2" x14ac:dyDescent="0.3">
      <c r="A81" s="19">
        <v>80</v>
      </c>
      <c r="B81" s="19">
        <f t="shared" si="1"/>
        <v>4.0379303598931078E-3</v>
      </c>
    </row>
    <row r="82" spans="1:2" x14ac:dyDescent="0.3">
      <c r="A82" s="19">
        <v>81</v>
      </c>
      <c r="B82" s="19">
        <f t="shared" si="1"/>
        <v>3.957973981672293E-3</v>
      </c>
    </row>
    <row r="83" spans="1:2" x14ac:dyDescent="0.3">
      <c r="A83" s="19">
        <v>82</v>
      </c>
      <c r="B83" s="19">
        <f t="shared" si="1"/>
        <v>3.8796008458178376E-3</v>
      </c>
    </row>
    <row r="84" spans="1:2" x14ac:dyDescent="0.3">
      <c r="A84" s="19">
        <v>83</v>
      </c>
      <c r="B84" s="19">
        <f t="shared" si="1"/>
        <v>3.80277960203041E-3</v>
      </c>
    </row>
    <row r="85" spans="1:2" x14ac:dyDescent="0.3">
      <c r="A85" s="19">
        <v>84</v>
      </c>
      <c r="B85" s="19">
        <f t="shared" si="1"/>
        <v>3.7274795207881996E-3</v>
      </c>
    </row>
    <row r="86" spans="1:2" x14ac:dyDescent="0.3">
      <c r="A86" s="19">
        <v>85</v>
      </c>
      <c r="B86" s="19">
        <f t="shared" si="1"/>
        <v>3.6536704810546934E-3</v>
      </c>
    </row>
    <row r="87" spans="1:2" x14ac:dyDescent="0.3">
      <c r="A87" s="19">
        <v>86</v>
      </c>
      <c r="B87" s="19">
        <f t="shared" si="1"/>
        <v>3.5813229582298644E-3</v>
      </c>
    </row>
    <row r="88" spans="1:2" x14ac:dyDescent="0.3">
      <c r="A88" s="19">
        <v>87</v>
      </c>
      <c r="B88" s="19">
        <f t="shared" si="1"/>
        <v>3.5104080123399372E-3</v>
      </c>
    </row>
    <row r="89" spans="1:2" x14ac:dyDescent="0.3">
      <c r="A89" s="19">
        <v>88</v>
      </c>
      <c r="B89" s="19">
        <f t="shared" si="1"/>
        <v>3.4408972764610108E-3</v>
      </c>
    </row>
    <row r="90" spans="1:2" x14ac:dyDescent="0.3">
      <c r="A90" s="19">
        <v>89</v>
      </c>
      <c r="B90" s="19">
        <f t="shared" si="1"/>
        <v>3.3727629453719102E-3</v>
      </c>
    </row>
    <row r="91" spans="1:2" x14ac:dyDescent="0.3">
      <c r="A91" s="19">
        <v>90</v>
      </c>
      <c r="B91" s="19">
        <f t="shared" si="1"/>
        <v>3.3059777644317309E-3</v>
      </c>
    </row>
    <row r="92" spans="1:2" x14ac:dyDescent="0.3">
      <c r="A92" s="19">
        <v>91</v>
      </c>
      <c r="B92" s="19">
        <f t="shared" si="1"/>
        <v>3.2405150186776148E-3</v>
      </c>
    </row>
    <row r="93" spans="1:2" x14ac:dyDescent="0.3">
      <c r="A93" s="19">
        <v>92</v>
      </c>
      <c r="B93" s="19">
        <f t="shared" si="1"/>
        <v>3.1763485221384135E-3</v>
      </c>
    </row>
    <row r="94" spans="1:2" x14ac:dyDescent="0.3">
      <c r="A94" s="19">
        <v>93</v>
      </c>
      <c r="B94" s="19">
        <f t="shared" si="1"/>
        <v>3.1134526073599463E-3</v>
      </c>
    </row>
    <row r="95" spans="1:2" x14ac:dyDescent="0.3">
      <c r="A95" s="19">
        <v>94</v>
      </c>
      <c r="B95" s="19">
        <f t="shared" si="1"/>
        <v>3.0518021151376773E-3</v>
      </c>
    </row>
    <row r="96" spans="1:2" x14ac:dyDescent="0.3">
      <c r="A96" s="19">
        <v>95</v>
      </c>
      <c r="B96" s="19">
        <f t="shared" si="1"/>
        <v>2.991372384452701E-3</v>
      </c>
    </row>
    <row r="97" spans="1:2" x14ac:dyDescent="0.3">
      <c r="A97" s="19">
        <v>96</v>
      </c>
      <c r="B97" s="19">
        <f t="shared" si="1"/>
        <v>2.9321392426070033E-3</v>
      </c>
    </row>
    <row r="98" spans="1:2" x14ac:dyDescent="0.3">
      <c r="A98" s="19">
        <v>97</v>
      </c>
      <c r="B98" s="19">
        <f t="shared" si="1"/>
        <v>2.8740789955540584E-3</v>
      </c>
    </row>
    <row r="99" spans="1:2" x14ac:dyDescent="0.3">
      <c r="A99" s="19">
        <v>98</v>
      </c>
      <c r="B99" s="19">
        <f t="shared" si="1"/>
        <v>2.8171684184209E-3</v>
      </c>
    </row>
    <row r="100" spans="1:2" x14ac:dyDescent="0.3">
      <c r="A100" s="19">
        <v>99</v>
      </c>
      <c r="B100" s="19">
        <f t="shared" si="1"/>
        <v>2.7613847462178566E-3</v>
      </c>
    </row>
    <row r="101" spans="1:2" x14ac:dyDescent="0.3">
      <c r="A101" s="19">
        <v>100</v>
      </c>
      <c r="B101" s="19">
        <f t="shared" si="1"/>
        <v>2.7067056647322543E-3</v>
      </c>
    </row>
    <row r="102" spans="1:2" x14ac:dyDescent="0.3">
      <c r="A102" s="19">
        <v>101</v>
      </c>
      <c r="B102" s="19">
        <f t="shared" si="1"/>
        <v>2.6531093016024343E-3</v>
      </c>
    </row>
    <row r="103" spans="1:2" x14ac:dyDescent="0.3">
      <c r="A103" s="19">
        <v>102</v>
      </c>
      <c r="B103" s="19">
        <f t="shared" si="1"/>
        <v>2.6005742175685184E-3</v>
      </c>
    </row>
    <row r="104" spans="1:2" x14ac:dyDescent="0.3">
      <c r="A104" s="19">
        <v>103</v>
      </c>
      <c r="B104" s="19">
        <f t="shared" si="1"/>
        <v>2.5490793978964151E-3</v>
      </c>
    </row>
    <row r="105" spans="1:2" x14ac:dyDescent="0.3">
      <c r="A105" s="19">
        <v>104</v>
      </c>
      <c r="B105" s="19">
        <f t="shared" si="1"/>
        <v>2.4986042439716482E-3</v>
      </c>
    </row>
    <row r="106" spans="1:2" x14ac:dyDescent="0.3">
      <c r="A106" s="19">
        <v>105</v>
      </c>
      <c r="B106" s="19">
        <f t="shared" si="1"/>
        <v>2.449128565059638E-3</v>
      </c>
    </row>
    <row r="107" spans="1:2" x14ac:dyDescent="0.3">
      <c r="A107" s="19">
        <v>106</v>
      </c>
      <c r="B107" s="19">
        <f t="shared" si="1"/>
        <v>2.4006325702291345E-3</v>
      </c>
    </row>
    <row r="108" spans="1:2" x14ac:dyDescent="0.3">
      <c r="A108" s="19">
        <v>107</v>
      </c>
      <c r="B108" s="19">
        <f t="shared" si="1"/>
        <v>2.3530968604355837E-3</v>
      </c>
    </row>
    <row r="109" spans="1:2" x14ac:dyDescent="0.3">
      <c r="A109" s="19">
        <v>108</v>
      </c>
      <c r="B109" s="19">
        <f t="shared" si="1"/>
        <v>2.3065024207612503E-3</v>
      </c>
    </row>
    <row r="110" spans="1:2" x14ac:dyDescent="0.3">
      <c r="A110" s="19">
        <v>109</v>
      </c>
      <c r="B110" s="19">
        <f t="shared" si="1"/>
        <v>2.2608306128089968E-3</v>
      </c>
    </row>
    <row r="111" spans="1:2" x14ac:dyDescent="0.3">
      <c r="A111" s="19">
        <v>110</v>
      </c>
      <c r="B111" s="19">
        <f t="shared" si="1"/>
        <v>2.2160631672466773E-3</v>
      </c>
    </row>
    <row r="112" spans="1:2" x14ac:dyDescent="0.3">
      <c r="A112" s="19">
        <v>111</v>
      </c>
      <c r="B112" s="19">
        <f t="shared" si="1"/>
        <v>2.1721821764991594E-3</v>
      </c>
    </row>
    <row r="113" spans="1:2" x14ac:dyDescent="0.3">
      <c r="A113" s="19">
        <v>112</v>
      </c>
      <c r="B113" s="19">
        <f t="shared" si="1"/>
        <v>2.1291700875850561E-3</v>
      </c>
    </row>
    <row r="114" spans="1:2" x14ac:dyDescent="0.3">
      <c r="A114" s="19">
        <v>113</v>
      </c>
      <c r="B114" s="19">
        <f t="shared" si="1"/>
        <v>2.0870096950952998E-3</v>
      </c>
    </row>
    <row r="115" spans="1:2" x14ac:dyDescent="0.3">
      <c r="A115" s="19">
        <v>114</v>
      </c>
      <c r="B115" s="19">
        <f t="shared" si="1"/>
        <v>2.0456841343107486E-3</v>
      </c>
    </row>
    <row r="116" spans="1:2" x14ac:dyDescent="0.3">
      <c r="A116" s="19">
        <v>115</v>
      </c>
      <c r="B116" s="19">
        <f t="shared" si="1"/>
        <v>2.005176874456074E-3</v>
      </c>
    </row>
    <row r="117" spans="1:2" x14ac:dyDescent="0.3">
      <c r="A117" s="19">
        <v>116</v>
      </c>
      <c r="B117" s="19">
        <f t="shared" si="1"/>
        <v>1.9654717120872311E-3</v>
      </c>
    </row>
    <row r="118" spans="1:2" x14ac:dyDescent="0.3">
      <c r="A118" s="19">
        <v>117</v>
      </c>
      <c r="B118" s="19">
        <f t="shared" si="1"/>
        <v>1.9265527646098607E-3</v>
      </c>
    </row>
    <row r="119" spans="1:2" x14ac:dyDescent="0.3">
      <c r="A119" s="19">
        <v>118</v>
      </c>
      <c r="B119" s="19">
        <f t="shared" si="1"/>
        <v>1.8884044639260469E-3</v>
      </c>
    </row>
    <row r="120" spans="1:2" x14ac:dyDescent="0.3">
      <c r="A120" s="19">
        <v>119</v>
      </c>
      <c r="B120" s="19">
        <f t="shared" si="1"/>
        <v>1.8510115502068658E-3</v>
      </c>
    </row>
    <row r="121" spans="1:2" x14ac:dyDescent="0.3">
      <c r="A121" s="19">
        <v>120</v>
      </c>
      <c r="B121" s="19">
        <f t="shared" si="1"/>
        <v>1.8143590657882503E-3</v>
      </c>
    </row>
    <row r="122" spans="1:2" x14ac:dyDescent="0.3">
      <c r="A122" s="19">
        <v>121</v>
      </c>
      <c r="B122" s="19">
        <f t="shared" si="1"/>
        <v>1.7784323491877268E-3</v>
      </c>
    </row>
    <row r="123" spans="1:2" x14ac:dyDescent="0.3">
      <c r="A123" s="19">
        <v>122</v>
      </c>
      <c r="B123" s="19">
        <f t="shared" si="1"/>
        <v>1.7432170292396259E-3</v>
      </c>
    </row>
    <row r="124" spans="1:2" x14ac:dyDescent="0.3">
      <c r="A124" s="19">
        <v>123</v>
      </c>
      <c r="B124" s="19">
        <f t="shared" si="1"/>
        <v>1.7086990193464248E-3</v>
      </c>
    </row>
    <row r="125" spans="1:2" x14ac:dyDescent="0.3">
      <c r="A125" s="19">
        <v>124</v>
      </c>
      <c r="B125" s="19">
        <f t="shared" si="1"/>
        <v>1.6748645118439193E-3</v>
      </c>
    </row>
    <row r="126" spans="1:2" x14ac:dyDescent="0.3">
      <c r="A126" s="19">
        <v>125</v>
      </c>
      <c r="B126" s="19">
        <f t="shared" si="1"/>
        <v>1.6416999724779761E-3</v>
      </c>
    </row>
    <row r="127" spans="1:2" x14ac:dyDescent="0.3">
      <c r="A127" s="19">
        <v>126</v>
      </c>
      <c r="B127" s="19">
        <f t="shared" si="1"/>
        <v>1.6091921349906488E-3</v>
      </c>
    </row>
    <row r="128" spans="1:2" x14ac:dyDescent="0.3">
      <c r="A128" s="19">
        <v>127</v>
      </c>
      <c r="B128" s="19">
        <f t="shared" si="1"/>
        <v>1.577327995813499E-3</v>
      </c>
    </row>
    <row r="129" spans="1:2" x14ac:dyDescent="0.3">
      <c r="A129" s="19">
        <v>128</v>
      </c>
      <c r="B129" s="19">
        <f t="shared" si="1"/>
        <v>1.5460948088659948E-3</v>
      </c>
    </row>
    <row r="130" spans="1:2" x14ac:dyDescent="0.3">
      <c r="A130" s="19">
        <v>129</v>
      </c>
      <c r="B130" s="19">
        <f t="shared" si="1"/>
        <v>1.5154800804569096E-3</v>
      </c>
    </row>
    <row r="131" spans="1:2" x14ac:dyDescent="0.3">
      <c r="A131" s="19">
        <v>130</v>
      </c>
      <c r="B131" s="19">
        <f t="shared" ref="B131:B151" si="2">_xlfn.EXPON.DIST(A131,1/$E$2,FALSE)</f>
        <v>1.4854715642866776E-3</v>
      </c>
    </row>
    <row r="132" spans="1:2" x14ac:dyDescent="0.3">
      <c r="A132" s="19">
        <v>131</v>
      </c>
      <c r="B132" s="19">
        <f t="shared" si="2"/>
        <v>1.4560572565487117E-3</v>
      </c>
    </row>
    <row r="133" spans="1:2" x14ac:dyDescent="0.3">
      <c r="A133" s="19">
        <v>132</v>
      </c>
      <c r="B133" s="19">
        <f t="shared" si="2"/>
        <v>1.427225391127721E-3</v>
      </c>
    </row>
    <row r="134" spans="1:2" x14ac:dyDescent="0.3">
      <c r="A134" s="19">
        <v>133</v>
      </c>
      <c r="B134" s="19">
        <f t="shared" si="2"/>
        <v>1.3989644348931071E-3</v>
      </c>
    </row>
    <row r="135" spans="1:2" x14ac:dyDescent="0.3">
      <c r="A135" s="19">
        <v>134</v>
      </c>
      <c r="B135" s="19">
        <f t="shared" si="2"/>
        <v>1.3712630830855584E-3</v>
      </c>
    </row>
    <row r="136" spans="1:2" x14ac:dyDescent="0.3">
      <c r="A136" s="19">
        <v>135</v>
      </c>
      <c r="B136" s="19">
        <f t="shared" si="2"/>
        <v>1.3441102547949951E-3</v>
      </c>
    </row>
    <row r="137" spans="1:2" x14ac:dyDescent="0.3">
      <c r="A137" s="19">
        <v>136</v>
      </c>
      <c r="B137" s="19">
        <f t="shared" si="2"/>
        <v>1.3174950885280589E-3</v>
      </c>
    </row>
    <row r="138" spans="1:2" x14ac:dyDescent="0.3">
      <c r="A138" s="19">
        <v>137</v>
      </c>
      <c r="B138" s="19">
        <f t="shared" si="2"/>
        <v>1.2914069378633694E-3</v>
      </c>
    </row>
    <row r="139" spans="1:2" x14ac:dyDescent="0.3">
      <c r="A139" s="19">
        <v>138</v>
      </c>
      <c r="B139" s="19">
        <f t="shared" si="2"/>
        <v>1.265835367192814E-3</v>
      </c>
    </row>
    <row r="140" spans="1:2" x14ac:dyDescent="0.3">
      <c r="A140" s="19">
        <v>139</v>
      </c>
      <c r="B140" s="19">
        <f t="shared" si="2"/>
        <v>1.2407701475471659E-3</v>
      </c>
    </row>
    <row r="141" spans="1:2" x14ac:dyDescent="0.3">
      <c r="A141" s="19">
        <v>140</v>
      </c>
      <c r="B141" s="19">
        <f t="shared" si="2"/>
        <v>1.2162012525043591E-3</v>
      </c>
    </row>
    <row r="142" spans="1:2" x14ac:dyDescent="0.3">
      <c r="A142" s="19">
        <v>141</v>
      </c>
      <c r="B142" s="19">
        <f t="shared" si="2"/>
        <v>1.1921188541787874E-3</v>
      </c>
    </row>
    <row r="143" spans="1:2" x14ac:dyDescent="0.3">
      <c r="A143" s="19">
        <v>142</v>
      </c>
      <c r="B143" s="19">
        <f t="shared" si="2"/>
        <v>1.1685133192900167E-3</v>
      </c>
    </row>
    <row r="144" spans="1:2" x14ac:dyDescent="0.3">
      <c r="A144" s="19">
        <v>143</v>
      </c>
      <c r="B144" s="19">
        <f t="shared" si="2"/>
        <v>1.1453752053093471E-3</v>
      </c>
    </row>
    <row r="145" spans="1:2" x14ac:dyDescent="0.3">
      <c r="A145" s="19">
        <v>144</v>
      </c>
      <c r="B145" s="19">
        <f t="shared" si="2"/>
        <v>1.1226952566826746E-3</v>
      </c>
    </row>
    <row r="146" spans="1:2" x14ac:dyDescent="0.3">
      <c r="A146" s="19">
        <v>145</v>
      </c>
      <c r="B146" s="19">
        <f t="shared" si="2"/>
        <v>1.1004644011281446E-3</v>
      </c>
    </row>
    <row r="147" spans="1:2" x14ac:dyDescent="0.3">
      <c r="A147" s="19">
        <v>146</v>
      </c>
      <c r="B147" s="19">
        <f t="shared" si="2"/>
        <v>1.0786737460071205E-3</v>
      </c>
    </row>
    <row r="148" spans="1:2" x14ac:dyDescent="0.3">
      <c r="A148" s="19">
        <v>147</v>
      </c>
      <c r="B148" s="19">
        <f t="shared" si="2"/>
        <v>1.0573145747670074E-3</v>
      </c>
    </row>
    <row r="149" spans="1:2" x14ac:dyDescent="0.3">
      <c r="A149" s="19">
        <v>148</v>
      </c>
      <c r="B149" s="19">
        <f t="shared" si="2"/>
        <v>1.0363783434545167E-3</v>
      </c>
    </row>
    <row r="150" spans="1:2" x14ac:dyDescent="0.3">
      <c r="A150" s="19">
        <v>149</v>
      </c>
      <c r="B150" s="19">
        <f t="shared" si="2"/>
        <v>1.01585667729797E-3</v>
      </c>
    </row>
    <row r="151" spans="1:2" x14ac:dyDescent="0.3">
      <c r="A151" s="19">
        <v>150</v>
      </c>
      <c r="B151" s="19">
        <f t="shared" si="2"/>
        <v>9.95741367357279E-4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25A6A-9278-4DEC-9DB9-118CBD619FD7}">
  <dimension ref="A1:G10"/>
  <sheetViews>
    <sheetView workbookViewId="0">
      <selection activeCell="G8" sqref="G8"/>
    </sheetView>
  </sheetViews>
  <sheetFormatPr defaultRowHeight="14.4" x14ac:dyDescent="0.3"/>
  <cols>
    <col min="4" max="4" width="10.33203125" customWidth="1"/>
  </cols>
  <sheetData>
    <row r="1" spans="1:7" x14ac:dyDescent="0.3">
      <c r="E1" t="s">
        <v>76</v>
      </c>
    </row>
    <row r="3" spans="1:7" x14ac:dyDescent="0.3">
      <c r="A3" s="23" t="s">
        <v>77</v>
      </c>
      <c r="B3" s="15">
        <v>4</v>
      </c>
      <c r="C3" s="15"/>
      <c r="D3" s="23" t="s">
        <v>78</v>
      </c>
      <c r="G3">
        <f>1/B5</f>
        <v>6.6666666666666666E-2</v>
      </c>
    </row>
    <row r="4" spans="1:7" x14ac:dyDescent="0.3">
      <c r="A4" s="23" t="s">
        <v>79</v>
      </c>
      <c r="B4" s="15">
        <v>18</v>
      </c>
      <c r="C4" s="15"/>
      <c r="D4" s="15"/>
    </row>
    <row r="5" spans="1:7" x14ac:dyDescent="0.3">
      <c r="A5" s="23" t="s">
        <v>80</v>
      </c>
      <c r="B5" s="15">
        <v>15</v>
      </c>
      <c r="C5" s="15"/>
      <c r="D5" s="23" t="s">
        <v>81</v>
      </c>
      <c r="G5">
        <f>2*G3</f>
        <v>0.13333333333333333</v>
      </c>
    </row>
    <row r="7" spans="1:7" x14ac:dyDescent="0.3">
      <c r="A7" s="23" t="s">
        <v>82</v>
      </c>
      <c r="B7" s="15">
        <f ca="1">RANDBETWEEN(B3,B4)</f>
        <v>14</v>
      </c>
      <c r="C7" s="15"/>
      <c r="D7" s="23" t="s">
        <v>83</v>
      </c>
      <c r="G7">
        <f>G3*G3</f>
        <v>4.4444444444444444E-3</v>
      </c>
    </row>
    <row r="8" spans="1:7" x14ac:dyDescent="0.3">
      <c r="A8" s="23" t="s">
        <v>84</v>
      </c>
      <c r="B8" s="15">
        <f ca="1">RANDBETWEEN(B3,B4)</f>
        <v>16</v>
      </c>
      <c r="C8" s="15"/>
      <c r="D8" s="15"/>
    </row>
    <row r="10" spans="1:7" x14ac:dyDescent="0.3">
      <c r="A10" s="23" t="s">
        <v>85</v>
      </c>
      <c r="B10" s="15"/>
      <c r="C10" s="15"/>
      <c r="D10" s="1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59FF-DF23-40B9-80F2-5DC269EFF16C}">
  <dimension ref="A1:G25"/>
  <sheetViews>
    <sheetView tabSelected="1" topLeftCell="A10" workbookViewId="0">
      <selection activeCell="B10" sqref="B10"/>
    </sheetView>
  </sheetViews>
  <sheetFormatPr defaultColWidth="8.88671875" defaultRowHeight="14.4" x14ac:dyDescent="0.3"/>
  <cols>
    <col min="1" max="1" width="20.44140625" style="15" bestFit="1" customWidth="1"/>
    <col min="2" max="2" width="27.88671875" style="15" bestFit="1" customWidth="1"/>
    <col min="3" max="16384" width="8.88671875" style="15"/>
  </cols>
  <sheetData>
    <row r="1" spans="1:7" x14ac:dyDescent="0.3">
      <c r="A1" s="23" t="s">
        <v>86</v>
      </c>
      <c r="B1" s="18">
        <v>0.22</v>
      </c>
      <c r="E1" s="15" t="s">
        <v>90</v>
      </c>
      <c r="G1" s="24"/>
    </row>
    <row r="2" spans="1:7" x14ac:dyDescent="0.3">
      <c r="A2" s="23" t="s">
        <v>87</v>
      </c>
      <c r="B2" s="11">
        <v>20</v>
      </c>
    </row>
    <row r="3" spans="1:7" x14ac:dyDescent="0.3">
      <c r="B3" s="18"/>
    </row>
    <row r="4" spans="1:7" x14ac:dyDescent="0.3">
      <c r="A4" s="20" t="s">
        <v>88</v>
      </c>
      <c r="B4" s="20" t="s">
        <v>89</v>
      </c>
    </row>
    <row r="5" spans="1:7" x14ac:dyDescent="0.3">
      <c r="A5" s="15">
        <v>0</v>
      </c>
      <c r="B5" s="25">
        <f>_xlfn.BINOM.DIST(A5,$B$2,$B$1,FALSE)</f>
        <v>6.9485158708621573E-3</v>
      </c>
    </row>
    <row r="6" spans="1:7" x14ac:dyDescent="0.3">
      <c r="A6" s="15">
        <v>1</v>
      </c>
      <c r="B6" s="25">
        <f t="shared" ref="B6:B25" si="0">_xlfn.BINOM.DIST(A6,$B$2,$B$1,FALSE)</f>
        <v>3.9196756194607045E-2</v>
      </c>
    </row>
    <row r="7" spans="1:7" x14ac:dyDescent="0.3">
      <c r="A7" s="15">
        <v>2</v>
      </c>
      <c r="B7" s="25">
        <f t="shared" si="0"/>
        <v>0.10502720570093421</v>
      </c>
    </row>
    <row r="8" spans="1:7" x14ac:dyDescent="0.3">
      <c r="A8" s="15">
        <v>3</v>
      </c>
      <c r="B8" s="25">
        <f t="shared" si="0"/>
        <v>0.17773834810927328</v>
      </c>
    </row>
    <row r="9" spans="1:7" x14ac:dyDescent="0.3">
      <c r="A9" s="15">
        <v>4</v>
      </c>
      <c r="B9" s="25">
        <f t="shared" si="0"/>
        <v>0.21305814805406478</v>
      </c>
    </row>
    <row r="10" spans="1:7" x14ac:dyDescent="0.3">
      <c r="A10" s="15">
        <v>5</v>
      </c>
      <c r="B10" s="25">
        <f>_xlfn.BINOM.DIST(A10,$B$2,$B$1,FALSE)</f>
        <v>0.19229863619238668</v>
      </c>
    </row>
    <row r="11" spans="1:7" x14ac:dyDescent="0.3">
      <c r="A11" s="15">
        <v>6</v>
      </c>
      <c r="B11" s="25">
        <f t="shared" si="0"/>
        <v>0.13559519218693933</v>
      </c>
    </row>
    <row r="12" spans="1:7" x14ac:dyDescent="0.3">
      <c r="A12" s="15">
        <v>7</v>
      </c>
      <c r="B12" s="25">
        <f t="shared" si="0"/>
        <v>7.6489595592632409E-2</v>
      </c>
    </row>
    <row r="13" spans="1:7" x14ac:dyDescent="0.3">
      <c r="A13" s="15">
        <v>8</v>
      </c>
      <c r="B13" s="25">
        <f t="shared" si="0"/>
        <v>3.5057731313289847E-2</v>
      </c>
    </row>
    <row r="14" spans="1:7" x14ac:dyDescent="0.3">
      <c r="A14" s="15">
        <v>9</v>
      </c>
      <c r="B14" s="25">
        <f t="shared" si="0"/>
        <v>1.3184104083630372E-2</v>
      </c>
    </row>
    <row r="15" spans="1:7" x14ac:dyDescent="0.3">
      <c r="A15" s="15">
        <v>10</v>
      </c>
      <c r="B15" s="25">
        <f t="shared" si="0"/>
        <v>4.0904528054340377E-3</v>
      </c>
    </row>
    <row r="16" spans="1:7" x14ac:dyDescent="0.3">
      <c r="A16" s="15">
        <v>11</v>
      </c>
      <c r="B16" s="25">
        <f t="shared" si="0"/>
        <v>1.0488340526753942E-3</v>
      </c>
    </row>
    <row r="17" spans="1:2" x14ac:dyDescent="0.3">
      <c r="A17" s="15">
        <v>12</v>
      </c>
      <c r="B17" s="25">
        <f t="shared" si="0"/>
        <v>2.2186874191210262E-4</v>
      </c>
    </row>
    <row r="18" spans="1:2" x14ac:dyDescent="0.3">
      <c r="A18" s="15">
        <v>13</v>
      </c>
      <c r="B18" s="25">
        <f t="shared" si="0"/>
        <v>3.8509761909792995E-5</v>
      </c>
    </row>
    <row r="19" spans="1:2" x14ac:dyDescent="0.3">
      <c r="A19" s="15">
        <v>14</v>
      </c>
      <c r="B19" s="25">
        <f t="shared" si="0"/>
        <v>5.4308638590733635E-6</v>
      </c>
    </row>
    <row r="20" spans="1:2" x14ac:dyDescent="0.3">
      <c r="A20" s="15">
        <v>15</v>
      </c>
      <c r="B20" s="25">
        <f t="shared" si="0"/>
        <v>6.1271284563904611E-7</v>
      </c>
    </row>
    <row r="21" spans="1:2" x14ac:dyDescent="0.3">
      <c r="A21" s="15">
        <v>16</v>
      </c>
      <c r="B21" s="25">
        <f t="shared" si="0"/>
        <v>5.400513863805688E-8</v>
      </c>
    </row>
    <row r="22" spans="1:2" x14ac:dyDescent="0.3">
      <c r="A22" s="15">
        <v>17</v>
      </c>
      <c r="B22" s="25">
        <f t="shared" si="0"/>
        <v>3.5840514329932107E-9</v>
      </c>
    </row>
    <row r="23" spans="1:2" x14ac:dyDescent="0.3">
      <c r="A23" s="15">
        <v>18</v>
      </c>
      <c r="B23" s="25">
        <f t="shared" si="0"/>
        <v>1.6848105026891181E-10</v>
      </c>
    </row>
    <row r="24" spans="1:2" x14ac:dyDescent="0.3">
      <c r="A24" s="15">
        <v>19</v>
      </c>
      <c r="B24" s="25">
        <f t="shared" si="0"/>
        <v>5.002136445230863E-12</v>
      </c>
    </row>
    <row r="25" spans="1:2" x14ac:dyDescent="0.3">
      <c r="A25" s="15">
        <v>20</v>
      </c>
      <c r="B25" s="25">
        <f t="shared" si="0"/>
        <v>7.054294986864034E-14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E831C-2C69-4572-9E00-4003ABD6DA8F}">
  <dimension ref="A1:F15"/>
  <sheetViews>
    <sheetView workbookViewId="0">
      <selection activeCell="C3" sqref="C3:C15"/>
    </sheetView>
  </sheetViews>
  <sheetFormatPr defaultRowHeight="14.4" x14ac:dyDescent="0.3"/>
  <cols>
    <col min="3" max="3" width="11.109375" customWidth="1"/>
  </cols>
  <sheetData>
    <row r="1" spans="1:6" x14ac:dyDescent="0.3">
      <c r="A1" t="s">
        <v>1</v>
      </c>
      <c r="B1">
        <v>3</v>
      </c>
      <c r="F1" t="s">
        <v>93</v>
      </c>
    </row>
    <row r="2" spans="1:6" x14ac:dyDescent="0.3">
      <c r="B2" t="s">
        <v>91</v>
      </c>
      <c r="C2" t="s">
        <v>92</v>
      </c>
    </row>
    <row r="3" spans="1:6" x14ac:dyDescent="0.3">
      <c r="A3">
        <v>0</v>
      </c>
      <c r="B3">
        <f>_xlfn.POISSON.DIST(A3,$B$1,FALSE)</f>
        <v>4.9787068367863944E-2</v>
      </c>
      <c r="C3">
        <f>_xlfn.POISSON.DIST(A3,$B$1,TRUE)</f>
        <v>4.9787068367863944E-2</v>
      </c>
    </row>
    <row r="4" spans="1:6" x14ac:dyDescent="0.3">
      <c r="A4">
        <v>1</v>
      </c>
      <c r="B4" s="19">
        <f t="shared" ref="B4:B15" si="0">_xlfn.POISSON.DIST(A4,$B$1,FALSE)</f>
        <v>0.14936120510359185</v>
      </c>
      <c r="C4" s="19">
        <f t="shared" ref="C4:C15" si="1">_xlfn.POISSON.DIST(A4,$B$1,TRUE)</f>
        <v>0.19914827347145578</v>
      </c>
    </row>
    <row r="5" spans="1:6" x14ac:dyDescent="0.3">
      <c r="A5">
        <v>2</v>
      </c>
      <c r="B5" s="19">
        <f t="shared" si="0"/>
        <v>0.22404180765538775</v>
      </c>
      <c r="C5" s="19">
        <f t="shared" si="1"/>
        <v>0.42319008112684342</v>
      </c>
    </row>
    <row r="6" spans="1:6" x14ac:dyDescent="0.3">
      <c r="A6">
        <v>3</v>
      </c>
      <c r="B6" s="19">
        <f t="shared" si="0"/>
        <v>0.22404180765538778</v>
      </c>
      <c r="C6" s="19">
        <f t="shared" si="1"/>
        <v>0.64723188878223126</v>
      </c>
    </row>
    <row r="7" spans="1:6" x14ac:dyDescent="0.3">
      <c r="A7">
        <v>4</v>
      </c>
      <c r="B7" s="19">
        <f t="shared" si="0"/>
        <v>0.16803135574154085</v>
      </c>
      <c r="C7" s="19">
        <f t="shared" si="1"/>
        <v>0.81526324452377208</v>
      </c>
    </row>
    <row r="8" spans="1:6" x14ac:dyDescent="0.3">
      <c r="A8">
        <v>5</v>
      </c>
      <c r="B8" s="19">
        <f t="shared" si="0"/>
        <v>0.10081881344492449</v>
      </c>
      <c r="C8" s="19">
        <f t="shared" si="1"/>
        <v>0.91608205796869657</v>
      </c>
    </row>
    <row r="9" spans="1:6" x14ac:dyDescent="0.3">
      <c r="A9">
        <v>6</v>
      </c>
      <c r="B9" s="19">
        <f t="shared" si="0"/>
        <v>5.0409406722462261E-2</v>
      </c>
      <c r="C9" s="19">
        <f t="shared" si="1"/>
        <v>0.96649146469115887</v>
      </c>
    </row>
    <row r="10" spans="1:6" x14ac:dyDescent="0.3">
      <c r="A10">
        <v>7</v>
      </c>
      <c r="B10" s="19">
        <f t="shared" si="0"/>
        <v>2.1604031452483807E-2</v>
      </c>
      <c r="C10" s="19">
        <f t="shared" si="1"/>
        <v>0.98809549614364256</v>
      </c>
    </row>
    <row r="11" spans="1:6" x14ac:dyDescent="0.3">
      <c r="A11">
        <v>8</v>
      </c>
      <c r="B11" s="19">
        <f t="shared" si="0"/>
        <v>8.1015117946814375E-3</v>
      </c>
      <c r="C11" s="19">
        <f t="shared" si="1"/>
        <v>0.996197007938324</v>
      </c>
    </row>
    <row r="12" spans="1:6" x14ac:dyDescent="0.3">
      <c r="A12">
        <v>9</v>
      </c>
      <c r="B12" s="19">
        <f t="shared" si="0"/>
        <v>2.7005039315604771E-3</v>
      </c>
      <c r="C12" s="19">
        <f t="shared" si="1"/>
        <v>0.99889751186988451</v>
      </c>
    </row>
    <row r="13" spans="1:6" x14ac:dyDescent="0.3">
      <c r="A13">
        <v>10</v>
      </c>
      <c r="B13" s="19">
        <f t="shared" si="0"/>
        <v>8.1015117946814244E-4</v>
      </c>
      <c r="C13" s="19">
        <f t="shared" si="1"/>
        <v>0.99970766304935266</v>
      </c>
    </row>
    <row r="14" spans="1:6" x14ac:dyDescent="0.3">
      <c r="A14">
        <v>11</v>
      </c>
      <c r="B14" s="19">
        <f t="shared" si="0"/>
        <v>2.2095032167312987E-4</v>
      </c>
      <c r="C14" s="19">
        <f t="shared" si="1"/>
        <v>0.99992861337102579</v>
      </c>
    </row>
    <row r="15" spans="1:6" x14ac:dyDescent="0.3">
      <c r="A15">
        <v>12</v>
      </c>
      <c r="B15" s="19">
        <f t="shared" si="0"/>
        <v>5.5237580418282596E-5</v>
      </c>
      <c r="C15" s="19">
        <f t="shared" si="1"/>
        <v>0.99998385095144404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EAFD8-C269-4018-B680-50C44FD683AC}">
  <dimension ref="A1:E12"/>
  <sheetViews>
    <sheetView workbookViewId="0">
      <selection activeCell="E4" sqref="E4"/>
    </sheetView>
  </sheetViews>
  <sheetFormatPr defaultRowHeight="14.4" x14ac:dyDescent="0.3"/>
  <cols>
    <col min="3" max="3" width="10.109375" bestFit="1" customWidth="1"/>
  </cols>
  <sheetData>
    <row r="1" spans="1:5" x14ac:dyDescent="0.3">
      <c r="A1" t="s">
        <v>94</v>
      </c>
      <c r="B1" t="s">
        <v>95</v>
      </c>
      <c r="C1" t="s">
        <v>96</v>
      </c>
    </row>
    <row r="2" spans="1:5" x14ac:dyDescent="0.3">
      <c r="A2">
        <v>1</v>
      </c>
      <c r="B2">
        <v>3</v>
      </c>
      <c r="C2">
        <f>(A2-AVERAGE($A$2:$A$11))*(B2-AVERAGE($B$2:$B$11))</f>
        <v>4.6799999999999988</v>
      </c>
      <c r="E2" t="s">
        <v>97</v>
      </c>
    </row>
    <row r="3" spans="1:5" x14ac:dyDescent="0.3">
      <c r="A3">
        <v>4</v>
      </c>
      <c r="B3">
        <v>2</v>
      </c>
      <c r="C3" s="19">
        <f t="shared" ref="C3:C11" si="0">(A3-AVERAGE($A$2:$A$11))*(B3-AVERAGE($B$2:$B$11))</f>
        <v>1.379999999999999</v>
      </c>
      <c r="E3">
        <f>_xlfn.COVARIANCE.P(A2:A11,B2:B11)</f>
        <v>-0.47999999999999987</v>
      </c>
    </row>
    <row r="4" spans="1:5" x14ac:dyDescent="0.3">
      <c r="A4">
        <v>7</v>
      </c>
      <c r="B4">
        <v>1</v>
      </c>
      <c r="C4" s="19">
        <f t="shared" si="0"/>
        <v>-7.9200000000000008</v>
      </c>
    </row>
    <row r="5" spans="1:5" x14ac:dyDescent="0.3">
      <c r="A5">
        <v>2</v>
      </c>
      <c r="B5">
        <v>4</v>
      </c>
      <c r="C5" s="19">
        <f t="shared" si="0"/>
        <v>0.77999999999999947</v>
      </c>
    </row>
    <row r="6" spans="1:5" x14ac:dyDescent="0.3">
      <c r="A6">
        <v>3</v>
      </c>
      <c r="B6">
        <v>9</v>
      </c>
      <c r="C6" s="19">
        <f t="shared" si="0"/>
        <v>-7.5199999999999987</v>
      </c>
    </row>
    <row r="7" spans="1:5" x14ac:dyDescent="0.3">
      <c r="A7">
        <v>5</v>
      </c>
      <c r="B7">
        <v>6</v>
      </c>
      <c r="C7" s="19">
        <f t="shared" si="0"/>
        <v>0.68000000000000071</v>
      </c>
    </row>
    <row r="8" spans="1:5" x14ac:dyDescent="0.3">
      <c r="A8">
        <v>8</v>
      </c>
      <c r="B8">
        <v>8</v>
      </c>
      <c r="C8" s="19">
        <f t="shared" si="0"/>
        <v>12.580000000000002</v>
      </c>
    </row>
    <row r="9" spans="1:5" x14ac:dyDescent="0.3">
      <c r="A9">
        <v>1</v>
      </c>
      <c r="B9">
        <v>4</v>
      </c>
      <c r="C9" s="19">
        <f t="shared" si="0"/>
        <v>1.0799999999999992</v>
      </c>
    </row>
    <row r="10" spans="1:5" x14ac:dyDescent="0.3">
      <c r="A10">
        <v>6</v>
      </c>
      <c r="B10">
        <v>4</v>
      </c>
      <c r="C10" s="19">
        <f t="shared" si="0"/>
        <v>-0.41999999999999987</v>
      </c>
    </row>
    <row r="11" spans="1:5" x14ac:dyDescent="0.3">
      <c r="A11">
        <v>9</v>
      </c>
      <c r="B11">
        <v>2</v>
      </c>
      <c r="C11" s="19">
        <f t="shared" si="0"/>
        <v>-10.119999999999999</v>
      </c>
    </row>
    <row r="12" spans="1:5" x14ac:dyDescent="0.3">
      <c r="C12">
        <f>AVERAGE(C2:C11)</f>
        <v>-0.47999999999999987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7B37C-CB9E-4F38-BC70-29EF08EDF25D}">
  <dimension ref="A2:D12"/>
  <sheetViews>
    <sheetView workbookViewId="0">
      <selection activeCell="D4" sqref="D4"/>
    </sheetView>
  </sheetViews>
  <sheetFormatPr defaultRowHeight="14.4" x14ac:dyDescent="0.3"/>
  <sheetData>
    <row r="2" spans="1:4" x14ac:dyDescent="0.3">
      <c r="A2" t="s">
        <v>94</v>
      </c>
      <c r="B2" t="s">
        <v>95</v>
      </c>
      <c r="D2" t="s">
        <v>98</v>
      </c>
    </row>
    <row r="3" spans="1:4" x14ac:dyDescent="0.3">
      <c r="A3">
        <v>1</v>
      </c>
      <c r="B3">
        <v>3</v>
      </c>
      <c r="D3">
        <f>CORREL(A3:A12,B3:B12)</f>
        <v>0.52215067084168709</v>
      </c>
    </row>
    <row r="4" spans="1:4" x14ac:dyDescent="0.3">
      <c r="A4">
        <v>4</v>
      </c>
      <c r="B4">
        <v>5</v>
      </c>
    </row>
    <row r="5" spans="1:4" x14ac:dyDescent="0.3">
      <c r="A5">
        <v>7</v>
      </c>
      <c r="B5">
        <v>8</v>
      </c>
    </row>
    <row r="6" spans="1:4" x14ac:dyDescent="0.3">
      <c r="A6">
        <v>2</v>
      </c>
      <c r="B6">
        <v>4</v>
      </c>
    </row>
    <row r="7" spans="1:4" x14ac:dyDescent="0.3">
      <c r="A7">
        <v>3</v>
      </c>
      <c r="B7">
        <v>9</v>
      </c>
    </row>
    <row r="8" spans="1:4" x14ac:dyDescent="0.3">
      <c r="A8">
        <v>5</v>
      </c>
      <c r="B8">
        <v>6</v>
      </c>
    </row>
    <row r="9" spans="1:4" x14ac:dyDescent="0.3">
      <c r="A9">
        <v>8</v>
      </c>
      <c r="B9">
        <v>8</v>
      </c>
    </row>
    <row r="10" spans="1:4" x14ac:dyDescent="0.3">
      <c r="A10">
        <v>1</v>
      </c>
      <c r="B10">
        <v>4</v>
      </c>
    </row>
    <row r="11" spans="1:4" x14ac:dyDescent="0.3">
      <c r="A11">
        <v>6</v>
      </c>
      <c r="B11">
        <v>4</v>
      </c>
    </row>
    <row r="12" spans="1:4" x14ac:dyDescent="0.3">
      <c r="A12">
        <v>9</v>
      </c>
      <c r="B12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541E7-305A-41AC-A7C5-691CDC1D0C7D}">
  <dimension ref="A1:F10"/>
  <sheetViews>
    <sheetView zoomScale="115" zoomScaleNormal="115" workbookViewId="0">
      <selection activeCell="F9" sqref="F9"/>
    </sheetView>
  </sheetViews>
  <sheetFormatPr defaultRowHeight="14.4" x14ac:dyDescent="0.3"/>
  <cols>
    <col min="1" max="1" width="18" bestFit="1" customWidth="1"/>
    <col min="4" max="4" width="12.77734375" bestFit="1" customWidth="1"/>
    <col min="5" max="5" width="32.33203125" bestFit="1" customWidth="1"/>
    <col min="6" max="6" width="35.109375" bestFit="1" customWidth="1"/>
  </cols>
  <sheetData>
    <row r="1" spans="1:6" x14ac:dyDescent="0.3">
      <c r="A1" t="s">
        <v>99</v>
      </c>
    </row>
    <row r="3" spans="1:6" x14ac:dyDescent="0.3">
      <c r="A3" t="s">
        <v>100</v>
      </c>
      <c r="B3" s="18">
        <v>0.85</v>
      </c>
      <c r="E3" t="s">
        <v>101</v>
      </c>
      <c r="F3" t="s">
        <v>102</v>
      </c>
    </row>
    <row r="4" spans="1:6" x14ac:dyDescent="0.3">
      <c r="A4" t="s">
        <v>103</v>
      </c>
      <c r="B4" s="18">
        <v>0.8</v>
      </c>
      <c r="D4" t="s">
        <v>104</v>
      </c>
      <c r="E4" s="26">
        <f>B6*B9</f>
        <v>0.68</v>
      </c>
      <c r="F4" s="26">
        <f>B6*B10</f>
        <v>0.16999999999999996</v>
      </c>
    </row>
    <row r="5" spans="1:6" x14ac:dyDescent="0.3">
      <c r="D5" t="s">
        <v>105</v>
      </c>
      <c r="E5" s="26">
        <f>B7*B10</f>
        <v>2.9999999999999992E-2</v>
      </c>
      <c r="F5" s="26">
        <f>B7*B9</f>
        <v>0.12</v>
      </c>
    </row>
    <row r="6" spans="1:6" ht="25.2" customHeight="1" x14ac:dyDescent="0.3">
      <c r="A6" t="s">
        <v>106</v>
      </c>
      <c r="B6" s="18">
        <v>0.85</v>
      </c>
    </row>
    <row r="7" spans="1:6" ht="31.8" customHeight="1" x14ac:dyDescent="0.3">
      <c r="A7" t="s">
        <v>107</v>
      </c>
      <c r="B7" s="18">
        <v>0.15</v>
      </c>
      <c r="E7" t="s">
        <v>108</v>
      </c>
      <c r="F7" t="s">
        <v>109</v>
      </c>
    </row>
    <row r="8" spans="1:6" x14ac:dyDescent="0.3">
      <c r="E8" s="27">
        <f>F5/(F4+F5)</f>
        <v>0.41379310344827597</v>
      </c>
      <c r="F8" s="27">
        <f>E4/(E4+E5)</f>
        <v>0.95774647887323938</v>
      </c>
    </row>
    <row r="9" spans="1:6" x14ac:dyDescent="0.3">
      <c r="A9" t="s">
        <v>110</v>
      </c>
      <c r="B9" s="18">
        <f>B4</f>
        <v>0.8</v>
      </c>
    </row>
    <row r="10" spans="1:6" x14ac:dyDescent="0.3">
      <c r="A10" t="s">
        <v>111</v>
      </c>
      <c r="B10" s="18">
        <f>1-B9</f>
        <v>0.19999999999999996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Joshin Jojo</dc:creator>
  <cp:lastModifiedBy>Joshin Jojo</cp:lastModifiedBy>
  <dcterms:created xsi:type="dcterms:W3CDTF">2022-07-29T08:44:38Z</dcterms:created>
  <dcterms:modified xsi:type="dcterms:W3CDTF">2022-07-30T19:38:28Z</dcterms:modified>
</cp:coreProperties>
</file>